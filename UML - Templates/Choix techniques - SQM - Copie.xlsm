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fmonnery\Desktop\"/>
    </mc:Choice>
  </mc:AlternateContent>
  <bookViews>
    <workbookView xWindow="240" yWindow="75" windowWidth="20115" windowHeight="7995" tabRatio="641" firstSheet="1" activeTab="1"/>
  </bookViews>
  <sheets>
    <sheet name="Liste des choix" sheetId="1" state="hidden" r:id="rId1"/>
    <sheet name="Liste des choix possibles" sheetId="10" r:id="rId2"/>
    <sheet name="Récapitulatif" sheetId="19" r:id="rId3"/>
    <sheet name="1. Solution Full Web" sheetId="11" r:id="rId4"/>
    <sheet name="2. Solution Full Web Microsoft" sheetId="12" r:id="rId5"/>
    <sheet name="3. Solution App devices mobiles" sheetId="13" r:id="rId6"/>
    <sheet name="4. Solution J2EE" sheetId="5" r:id="rId7"/>
    <sheet name="5. Solution ASP DotNet" sheetId="6" r:id="rId8"/>
    <sheet name="6. Solution SilverLight DotNet" sheetId="17" r:id="rId9"/>
    <sheet name="7. Solution PHP" sheetId="16" r:id="rId10"/>
    <sheet name="8. Solution WinDev" sheetId="14" r:id="rId11"/>
    <sheet name="9. Solution Xamarin" sheetId="15" r:id="rId12"/>
    <sheet name="10. Solution WPF -DotNet " sheetId="9" r:id="rId13"/>
    <sheet name="11. Solution Access ADP" sheetId="7" r:id="rId14"/>
    <sheet name="12. Solution Access" sheetId="8" r:id="rId15"/>
    <sheet name="13. Solution MES ERP" sheetId="18" r:id="rId16"/>
    <sheet name="Glossaire" sheetId="2" r:id="rId17"/>
  </sheets>
  <calcPr calcId="152511"/>
</workbook>
</file>

<file path=xl/calcChain.xml><?xml version="1.0" encoding="utf-8"?>
<calcChain xmlns="http://schemas.openxmlformats.org/spreadsheetml/2006/main">
  <c r="G36" i="18" l="1"/>
  <c r="C36" i="18" s="1"/>
  <c r="G36" i="17"/>
  <c r="C36" i="17" s="1"/>
  <c r="G36" i="16"/>
  <c r="C36" i="16" s="1"/>
  <c r="G36" i="8"/>
  <c r="C36" i="8" s="1"/>
  <c r="G36" i="7"/>
  <c r="C36" i="7" s="1"/>
  <c r="C36" i="9"/>
  <c r="G36" i="9"/>
  <c r="G36" i="6"/>
  <c r="C36" i="6" s="1"/>
  <c r="G36" i="5"/>
  <c r="C36" i="5" s="1"/>
  <c r="G36" i="15"/>
  <c r="C36" i="15" s="1"/>
  <c r="G36" i="14"/>
  <c r="C36" i="14"/>
  <c r="G36" i="13"/>
  <c r="D13" i="19"/>
  <c r="H15" i="19"/>
  <c r="M11" i="19"/>
  <c r="D18" i="19"/>
  <c r="H7" i="19"/>
  <c r="M10" i="19"/>
  <c r="D12" i="19"/>
  <c r="H14" i="19"/>
  <c r="M8" i="19"/>
  <c r="E13" i="19"/>
  <c r="I15" i="19"/>
  <c r="N11" i="19"/>
  <c r="E18" i="19"/>
  <c r="I7" i="19"/>
  <c r="N10" i="19"/>
  <c r="E12" i="19"/>
  <c r="I14" i="19"/>
  <c r="N8" i="19"/>
  <c r="F13" i="19"/>
  <c r="K15" i="19"/>
  <c r="O11" i="19"/>
  <c r="F18" i="19"/>
  <c r="K7" i="19"/>
  <c r="O10" i="19"/>
  <c r="F12" i="19"/>
  <c r="K14" i="19"/>
  <c r="O8" i="19"/>
  <c r="G13" i="19"/>
  <c r="L15" i="19"/>
  <c r="P11" i="19"/>
  <c r="G18" i="19"/>
  <c r="L7" i="19"/>
  <c r="P10" i="19"/>
  <c r="G12" i="19"/>
  <c r="L14" i="19"/>
  <c r="P8" i="19"/>
  <c r="P16" i="19"/>
  <c r="D17" i="19"/>
  <c r="M15" i="19"/>
  <c r="D19" i="19"/>
  <c r="H18" i="19"/>
  <c r="D9" i="19"/>
  <c r="H12" i="19"/>
  <c r="E17" i="19"/>
  <c r="N15" i="19"/>
  <c r="E19" i="19"/>
  <c r="N7" i="19"/>
  <c r="E9" i="19"/>
  <c r="N14" i="19"/>
  <c r="K13" i="19"/>
  <c r="O15" i="19"/>
  <c r="K18" i="19"/>
  <c r="F9" i="19"/>
  <c r="K12" i="19"/>
  <c r="G17" i="19"/>
  <c r="L13" i="19"/>
  <c r="G19" i="19"/>
  <c r="P7" i="19"/>
  <c r="G9" i="19"/>
  <c r="P14" i="19"/>
  <c r="N16" i="19"/>
  <c r="H17" i="19"/>
  <c r="M13" i="19"/>
  <c r="D11" i="19"/>
  <c r="H19" i="19"/>
  <c r="M18" i="19"/>
  <c r="D10" i="19"/>
  <c r="H9" i="19"/>
  <c r="M12" i="19"/>
  <c r="D8" i="19"/>
  <c r="I17" i="19"/>
  <c r="N13" i="19"/>
  <c r="E11" i="19"/>
  <c r="I19" i="19"/>
  <c r="N18" i="19"/>
  <c r="E10" i="19"/>
  <c r="I9" i="19"/>
  <c r="N12" i="19"/>
  <c r="E8" i="19"/>
  <c r="K17" i="19"/>
  <c r="O13" i="19"/>
  <c r="F11" i="19"/>
  <c r="K19" i="19"/>
  <c r="O18" i="19"/>
  <c r="F10" i="19"/>
  <c r="K9" i="19"/>
  <c r="O12" i="19"/>
  <c r="F8" i="19"/>
  <c r="L17" i="19"/>
  <c r="P13" i="19"/>
  <c r="G11" i="19"/>
  <c r="L19" i="19"/>
  <c r="P18" i="19"/>
  <c r="G10" i="19"/>
  <c r="L9" i="19"/>
  <c r="P12" i="19"/>
  <c r="G8" i="19"/>
  <c r="O16" i="19"/>
  <c r="M17" i="19"/>
  <c r="D15" i="19"/>
  <c r="H11" i="19"/>
  <c r="M19" i="19"/>
  <c r="D7" i="19"/>
  <c r="H10" i="19"/>
  <c r="M9" i="19"/>
  <c r="D14" i="19"/>
  <c r="H8" i="19"/>
  <c r="N17" i="19"/>
  <c r="E15" i="19"/>
  <c r="I11" i="19"/>
  <c r="N19" i="19"/>
  <c r="E7" i="19"/>
  <c r="I10" i="19"/>
  <c r="N9" i="19"/>
  <c r="E14" i="19"/>
  <c r="I8" i="19"/>
  <c r="O17" i="19"/>
  <c r="F15" i="19"/>
  <c r="K11" i="19"/>
  <c r="O19" i="19"/>
  <c r="F7" i="19"/>
  <c r="K10" i="19"/>
  <c r="O9" i="19"/>
  <c r="F14" i="19"/>
  <c r="K8" i="19"/>
  <c r="P17" i="19"/>
  <c r="G15" i="19"/>
  <c r="L11" i="19"/>
  <c r="P19" i="19"/>
  <c r="G7" i="19"/>
  <c r="L10" i="19"/>
  <c r="P9" i="19"/>
  <c r="G14" i="19"/>
  <c r="L8" i="19"/>
  <c r="L16" i="19"/>
  <c r="H13" i="19"/>
  <c r="M7" i="19"/>
  <c r="M14" i="19"/>
  <c r="I13" i="19"/>
  <c r="I18" i="19"/>
  <c r="I12" i="19"/>
  <c r="F17" i="19"/>
  <c r="F19" i="19"/>
  <c r="O7" i="19"/>
  <c r="O14" i="19"/>
  <c r="P15" i="19"/>
  <c r="L18" i="19"/>
  <c r="L12" i="19"/>
  <c r="M16" i="19"/>
  <c r="K16" i="19"/>
  <c r="E16" i="19"/>
  <c r="H16" i="19"/>
  <c r="I16" i="19"/>
  <c r="F16" i="19"/>
  <c r="G16" i="19"/>
  <c r="D16" i="19"/>
  <c r="S16" i="19" l="1"/>
  <c r="T8" i="19"/>
  <c r="T14" i="19"/>
  <c r="T12" i="19"/>
  <c r="T9" i="19"/>
  <c r="T10" i="19"/>
  <c r="T7" i="19"/>
  <c r="T18" i="19"/>
  <c r="T19" i="19"/>
  <c r="T11" i="19"/>
  <c r="T15" i="19"/>
  <c r="T13" i="19"/>
  <c r="T17" i="19"/>
  <c r="S8" i="19"/>
  <c r="R8" i="19"/>
  <c r="R14" i="19"/>
  <c r="S14" i="19"/>
  <c r="R12" i="19"/>
  <c r="S12" i="19"/>
  <c r="R9" i="19"/>
  <c r="S9" i="19"/>
  <c r="S10" i="19"/>
  <c r="R10" i="19"/>
  <c r="R7" i="19"/>
  <c r="S7" i="19"/>
  <c r="R18" i="19"/>
  <c r="S18" i="19"/>
  <c r="R19" i="19"/>
  <c r="S19" i="19"/>
  <c r="S11" i="19"/>
  <c r="R11" i="19"/>
  <c r="R15" i="19"/>
  <c r="S15" i="19"/>
  <c r="R13" i="19"/>
  <c r="S13" i="19"/>
  <c r="R17" i="19"/>
  <c r="S17" i="19"/>
  <c r="R16" i="19"/>
  <c r="T16" i="19"/>
  <c r="C36" i="13"/>
  <c r="G36" i="12"/>
  <c r="C36" i="12"/>
  <c r="G36" i="11"/>
  <c r="C36" i="11" s="1"/>
</calcChain>
</file>

<file path=xl/sharedStrings.xml><?xml version="1.0" encoding="utf-8"?>
<sst xmlns="http://schemas.openxmlformats.org/spreadsheetml/2006/main" count="906" uniqueCount="330">
  <si>
    <t>Scoring</t>
  </si>
  <si>
    <t>Obstacles</t>
  </si>
  <si>
    <t>Opportunités</t>
  </si>
  <si>
    <t>Faiblesses</t>
  </si>
  <si>
    <t>Forces</t>
  </si>
  <si>
    <t>Matrice SWOT</t>
  </si>
  <si>
    <t>Langage</t>
  </si>
  <si>
    <t>Logique métier</t>
  </si>
  <si>
    <t>Gestion données</t>
  </si>
  <si>
    <t>Interface client</t>
  </si>
  <si>
    <t>Framework</t>
  </si>
  <si>
    <t>Middleware</t>
  </si>
  <si>
    <t>Hibernate</t>
  </si>
  <si>
    <t>SQL Server</t>
  </si>
  <si>
    <t>Protocole</t>
  </si>
  <si>
    <t>API  JDBC</t>
  </si>
  <si>
    <t>Java</t>
  </si>
  <si>
    <t>HQL</t>
  </si>
  <si>
    <t>Apache/ TomCat</t>
  </si>
  <si>
    <t>Serveur BDD</t>
  </si>
  <si>
    <t>Serveur applicatif</t>
  </si>
  <si>
    <t>HTTP</t>
  </si>
  <si>
    <t>Internet Explorer</t>
  </si>
  <si>
    <t>Windows Server / IIS</t>
  </si>
  <si>
    <t>Poste client</t>
  </si>
  <si>
    <t>Apache / Zend</t>
  </si>
  <si>
    <t>Connecteur ODBC</t>
  </si>
  <si>
    <t>Access</t>
  </si>
  <si>
    <t>OLE DB</t>
  </si>
  <si>
    <t>ORM</t>
  </si>
  <si>
    <t>HTML</t>
  </si>
  <si>
    <t>JSP</t>
  </si>
  <si>
    <t>Dot Net</t>
  </si>
  <si>
    <t>C#</t>
  </si>
  <si>
    <t>ASP</t>
  </si>
  <si>
    <t>HTTP / RIA</t>
  </si>
  <si>
    <t xml:space="preserve">Spring </t>
  </si>
  <si>
    <t>SQL</t>
  </si>
  <si>
    <t>Zend</t>
  </si>
  <si>
    <t>PHP</t>
  </si>
  <si>
    <t>LINQ</t>
  </si>
  <si>
    <t>Silverlight</t>
  </si>
  <si>
    <t>XAML</t>
  </si>
  <si>
    <t>Windows Form</t>
  </si>
  <si>
    <t>Jet SQL</t>
  </si>
  <si>
    <t>VBA</t>
  </si>
  <si>
    <t>Moteur Jet Access</t>
  </si>
  <si>
    <t>Back-End</t>
  </si>
  <si>
    <t>Front-End</t>
  </si>
  <si>
    <t>J2EE</t>
  </si>
  <si>
    <t>DotNet</t>
  </si>
  <si>
    <t>DotNet - RIA</t>
  </si>
  <si>
    <t>Access - ADP</t>
  </si>
  <si>
    <t>Solution</t>
  </si>
  <si>
    <t>Architecture mono-poste</t>
  </si>
  <si>
    <t>Architecture répartie 
n-tiers</t>
  </si>
  <si>
    <t>Visual Basic</t>
  </si>
  <si>
    <t>Entity FW</t>
  </si>
  <si>
    <t>API ADO .Net</t>
  </si>
  <si>
    <t>Pilote ODBC</t>
  </si>
  <si>
    <t>Courbe d'apprentissage</t>
  </si>
  <si>
    <t>ARCHITECTURE DES SOLUTIONS POSSIBLES</t>
  </si>
  <si>
    <t>1.</t>
  </si>
  <si>
    <t>2.</t>
  </si>
  <si>
    <t>3.</t>
  </si>
  <si>
    <t>4.</t>
  </si>
  <si>
    <t>5.</t>
  </si>
  <si>
    <t>6.</t>
  </si>
  <si>
    <t>7.</t>
  </si>
  <si>
    <t>Type Architecture</t>
  </si>
  <si>
    <r>
      <rPr>
        <sz val="8"/>
        <color theme="1"/>
        <rFont val="Wingdings"/>
        <charset val="2"/>
      </rPr>
      <t>s</t>
    </r>
    <r>
      <rPr>
        <sz val="11"/>
        <color theme="1"/>
        <rFont val="Calibri"/>
        <family val="2"/>
      </rPr>
      <t xml:space="preserve"> </t>
    </r>
    <r>
      <rPr>
        <sz val="11"/>
        <color theme="1"/>
        <rFont val="Calibri"/>
        <family val="2"/>
        <scheme val="minor"/>
      </rPr>
      <t>Facilité de maintenance tierce :</t>
    </r>
  </si>
  <si>
    <r>
      <rPr>
        <sz val="8"/>
        <color theme="1"/>
        <rFont val="Wingdings"/>
        <charset val="2"/>
      </rPr>
      <t>s</t>
    </r>
    <r>
      <rPr>
        <sz val="11"/>
        <color theme="1"/>
        <rFont val="Calibri"/>
        <family val="2"/>
      </rPr>
      <t xml:space="preserve"> Courbe d'apprentissage</t>
    </r>
    <r>
      <rPr>
        <sz val="11"/>
        <color theme="1"/>
        <rFont val="Calibri"/>
        <family val="2"/>
        <scheme val="minor"/>
      </rPr>
      <t xml:space="preserve"> :</t>
    </r>
  </si>
  <si>
    <r>
      <rPr>
        <sz val="8"/>
        <color theme="1"/>
        <rFont val="Wingdings"/>
        <charset val="2"/>
      </rPr>
      <t>s</t>
    </r>
    <r>
      <rPr>
        <sz val="11"/>
        <color theme="1"/>
        <rFont val="Calibri"/>
        <family val="2"/>
      </rPr>
      <t xml:space="preserve"> Souplesse de déploiement</t>
    </r>
    <r>
      <rPr>
        <sz val="11"/>
        <color theme="1"/>
        <rFont val="Calibri"/>
        <family val="2"/>
        <scheme val="minor"/>
      </rPr>
      <t xml:space="preserve"> :</t>
    </r>
  </si>
  <si>
    <r>
      <rPr>
        <sz val="8"/>
        <color theme="1"/>
        <rFont val="Wingdings"/>
        <charset val="2"/>
      </rPr>
      <t>s</t>
    </r>
    <r>
      <rPr>
        <sz val="11"/>
        <color theme="1"/>
        <rFont val="Calibri"/>
        <family val="2"/>
      </rPr>
      <t xml:space="preserve"> Optimisation de code</t>
    </r>
    <r>
      <rPr>
        <sz val="11"/>
        <color theme="1"/>
        <rFont val="Calibri"/>
        <family val="2"/>
        <scheme val="minor"/>
      </rPr>
      <t xml:space="preserve"> :</t>
    </r>
  </si>
  <si>
    <r>
      <rPr>
        <sz val="8"/>
        <color theme="1"/>
        <rFont val="Wingdings"/>
        <charset val="2"/>
      </rPr>
      <t>s</t>
    </r>
    <r>
      <rPr>
        <sz val="11"/>
        <color theme="1"/>
        <rFont val="Calibri"/>
        <family val="2"/>
      </rPr>
      <t xml:space="preserve"> Modélisation fonctionnelle du code</t>
    </r>
    <r>
      <rPr>
        <sz val="11"/>
        <color theme="1"/>
        <rFont val="Calibri"/>
        <family val="2"/>
        <scheme val="minor"/>
      </rPr>
      <t xml:space="preserve"> :</t>
    </r>
  </si>
  <si>
    <r>
      <rPr>
        <sz val="8"/>
        <color theme="1"/>
        <rFont val="Wingdings"/>
        <charset val="2"/>
      </rPr>
      <t>s</t>
    </r>
    <r>
      <rPr>
        <sz val="11"/>
        <color theme="1"/>
        <rFont val="Calibri"/>
        <family val="2"/>
      </rPr>
      <t xml:space="preserve"> Expérience utilisateur</t>
    </r>
    <r>
      <rPr>
        <sz val="11"/>
        <color theme="1"/>
        <rFont val="Calibri"/>
        <family val="2"/>
        <scheme val="minor"/>
      </rPr>
      <t xml:space="preserve"> :</t>
    </r>
  </si>
  <si>
    <t>Critères de la solution</t>
  </si>
  <si>
    <t>Interface utilisateur</t>
  </si>
  <si>
    <t xml:space="preserve">Client Web </t>
  </si>
  <si>
    <t>Architecture répartie - n tiers</t>
  </si>
  <si>
    <t>Linux - Windows - Macintosh</t>
  </si>
  <si>
    <t>Struts - Spring - Hibernate</t>
  </si>
  <si>
    <t>Java - HQL - JSP - HTML - CSS</t>
  </si>
  <si>
    <t>Langage(s)</t>
  </si>
  <si>
    <t>Environnement(s)</t>
  </si>
  <si>
    <t>Framework(s)</t>
  </si>
  <si>
    <t>• La solution J2EE n'est pas adaptée pour une infrastructure sous environnement Microsoft,
• Cette plateforme est destinée avant tout aux gros projets et aux grands comptes,</t>
  </si>
  <si>
    <r>
      <t xml:space="preserve">Performance  </t>
    </r>
    <r>
      <rPr>
        <b/>
        <sz val="8"/>
        <color theme="1"/>
        <rFont val="Calibri"/>
        <family val="2"/>
        <scheme val="minor"/>
      </rPr>
      <t>- coefficient 1</t>
    </r>
  </si>
  <si>
    <t>Windows</t>
  </si>
  <si>
    <t>C# - LINK - ASP - HTML - CSS</t>
  </si>
  <si>
    <t>WCF - Entity FrameWork</t>
  </si>
  <si>
    <r>
      <rPr>
        <sz val="8"/>
        <color theme="1"/>
        <rFont val="Wingdings"/>
        <charset val="2"/>
      </rPr>
      <t>s</t>
    </r>
    <r>
      <rPr>
        <sz val="11"/>
        <color theme="1"/>
        <rFont val="Calibri"/>
        <family val="2"/>
      </rPr>
      <t xml:space="preserve"> Richesse de l'expérience utilisateur</t>
    </r>
    <r>
      <rPr>
        <sz val="11"/>
        <color theme="1"/>
        <rFont val="Calibri"/>
        <family val="2"/>
        <scheme val="minor"/>
      </rPr>
      <t xml:space="preserve"> :</t>
    </r>
  </si>
  <si>
    <r>
      <rPr>
        <sz val="8"/>
        <color theme="1"/>
        <rFont val="Wingdings"/>
        <charset val="2"/>
      </rPr>
      <t>s</t>
    </r>
    <r>
      <rPr>
        <sz val="11"/>
        <color theme="1"/>
        <rFont val="Calibri"/>
        <family val="2"/>
      </rPr>
      <t xml:space="preserve"> Résistance aux montées en charge potentielles</t>
    </r>
    <r>
      <rPr>
        <sz val="11"/>
        <color theme="1"/>
        <rFont val="Calibri"/>
        <family val="2"/>
        <scheme val="minor"/>
      </rPr>
      <t xml:space="preserve"> :</t>
    </r>
  </si>
  <si>
    <t>Critères de choix de la solution</t>
  </si>
  <si>
    <t>Mode ADP - Access Data Project</t>
  </si>
  <si>
    <t>Transact SQL - VBA</t>
  </si>
  <si>
    <t>Architecture client mono poste</t>
  </si>
  <si>
    <t>-</t>
  </si>
  <si>
    <t>Jet SQL - VBA</t>
  </si>
  <si>
    <t xml:space="preserve">• Le process de mise en production d'un projet Access est bien maîtrisé en interne,
</t>
  </si>
  <si>
    <t xml:space="preserve">• Le Framework WCF permet de très facilement créer des Web services au format SOAP, ce qui offre de nombreuses opportunités d'architectures applicatives,
• Le Framework Entity permet de normaliser l'accès aux données et de le découpler de la logique applicative, ce qui facilite les évolutions et la maintenabilité du code,
</t>
  </si>
  <si>
    <t xml:space="preserve">• Le mode client Web permet de centraliser les développements sur serveur, ce qui facilite déploiement, maintenance, accès aux données et gestion des utilisateurs,
• Les interfaces Web offrent ergonomie et design de qualité,
• Génération automatique de code et réutilisabilité de composants permettent de gros gains de temps de développement,
</t>
  </si>
  <si>
    <t xml:space="preserve">• L'environnement repose sur un sytème d'API régulièrement mis à jour ce qui le rend particulièrement modulable,
• Les framework de type JUnit permettent une complète automatisation des tests unitaires,
</t>
  </si>
  <si>
    <t xml:space="preserve">• La courbe d'apprentissage est très élevée en raison du nombre élevé d'API à maîtriser (l'IDE Eclipse est également difficile),
• Les frameworks sont puissants mais parfois d'une utilisation ardue et la maintenance des serveurs applicatifs est complexe,
</t>
  </si>
  <si>
    <t xml:space="preserve">• L'environnement J2EE est très complet et très abouti et permet la programmation de projets d'envergure,
• La plate forme est en constante amélioration grâce à une communauté Open source dynamique à l'origine de nombreux FrameWorks (Struts, Spring, Hibernate),
</t>
  </si>
  <si>
    <t xml:space="preserve">• L'application reste en mode client lourd, avec toutes les contraintes de déploiement et de maintenance associées,
• Il n'est pas possible d'automatiser les tests unitaires,
• Les limitations du langage VBA restent les mêmes que pour un projet Access classique,
</t>
  </si>
  <si>
    <t>Interface Windows Form</t>
  </si>
  <si>
    <t xml:space="preserve">• La solution permet de bénéficier des fonctionnalités avancées des langages C# et Visual Basic (design pattern, héritage), ce qui permet de créer des composants génériques réutilisables,
• La possibilité de structurer fonctionnellement le code (modélisation objet) facilite les travaux d'évolution applicative,
</t>
  </si>
  <si>
    <t>Programmation objet</t>
  </si>
  <si>
    <t>Projet Access ADP</t>
  </si>
  <si>
    <r>
      <rPr>
        <b/>
        <u/>
        <sz val="11"/>
        <color theme="1"/>
        <rFont val="Calibri"/>
        <family val="2"/>
        <scheme val="minor"/>
      </rPr>
      <t>Conclusion</t>
    </r>
    <r>
      <rPr>
        <sz val="11"/>
        <color theme="1"/>
        <rFont val="Calibri"/>
        <family val="2"/>
        <scheme val="minor"/>
      </rPr>
      <t xml:space="preserve"> : Un projet J2EE necessite un investissement temps important et une équipe développement étoffé, ce qui offre peu d'espoir de retour sur investissement pour une PME.</t>
    </r>
  </si>
  <si>
    <t>Projet PHP</t>
  </si>
  <si>
    <t>Solution programmation assistée</t>
  </si>
  <si>
    <t>RIA (rich internet application)</t>
  </si>
  <si>
    <t>Web service SOAP</t>
  </si>
  <si>
    <t xml:space="preserve">• Access en mode ADP permet de découpler toute la gestion des données sur SQL Server (plus de limitation à 255 champs),
• Les objets SQL Server (procédures stockées) sont plus facilement réutilisables et seul le langage Transact SQL conforme à la norme ANSI est utilisé (contrairement au Jet SQL),
• Les temps de traitement sont améliorés car les données ne sont pas retraitées par le moteur Jet d'Access ,
• Les performances du middleware OLE DB sont meilleures que celles du connecteur ODBC (gestion erreurs connexion facilitée),
</t>
  </si>
  <si>
    <t xml:space="preserve">Mode de programmation qui consiste à structurer le code selon la même architecture liant les entités métier identifiées (une classe = une entité). Cela permet notamment de faciliter les évolutions ultérieures de l'application et de déporter l'effort de commentaires  du code sur les spécifications fonctionnelles
</t>
  </si>
  <si>
    <t xml:space="preserve">Application disponible sur le poste utilisateur par le biais d'un navigateur Internet et hébergée sur un serveur distant. Ce mode d'architecture permet de s'affranchir des problématiques de déploiement et de mise à jour des versions.
</t>
  </si>
  <si>
    <t xml:space="preserve">Projet programmé par le biais du tryptique MySQL - PHP - HTML. Ce type de projet est parfaitement adapté pour les sites Web (75% des sites sont programmés de la sorte), en revanche il ne convient pas pour les applications d'entreprise, car les performances du PHP sont médiocres sur les algorithmes complexes (il s'agit d'un langage de script interprété et non compilé)
</t>
  </si>
  <si>
    <t xml:space="preserve">Fichier Access dont toute la logique d'accès et d'exploitation des données est déportée sur SQL Server. Plus aucune donnée n'est traitée par le moteur Jet (moteur de base de donnée  interne à la base Access) et le fichier Access ne devient plus qu'une interface graphique utilisateur, ce qui permet d'améliorer les performances.
</t>
  </si>
  <si>
    <t>IDE (integrated developpemnt environement)</t>
  </si>
  <si>
    <t xml:space="preserve">Bibliothèque ou API proposant des fonctionnalités de programmation générique commune à tout projet (accès aux données, gestion de la sécurité, validation des entrées utilisateur). L'effort de programmation se déporte alors du codage répétif vers le paramétrage, ce qui est source de gain de temps important mais au prix d'un gros effort d'apprentissage.  Ex: JQuery pour Javascript, Entity Framework...
</t>
  </si>
  <si>
    <t>GLOSSAIRE</t>
  </si>
  <si>
    <t>Architecture client web</t>
  </si>
  <si>
    <t xml:space="preserve">Application en mode Web qui s'affiche sur le navigateur client non pas par HTML mais par le biais d'un plug-in propriétaire (Adobe pour Flash, Silverlight pour Microsoft). Si ce plug-in n'est pas installé sur le navigateur client, l'application ne peut pas fonctionner.
</t>
  </si>
  <si>
    <t xml:space="preserve">Protocole de communication entre application qui permet de faire dialoguer deux applications par le biais de messages au format XML et ce quelque soit l'environnement et le langage des dites applications.
</t>
  </si>
  <si>
    <t xml:space="preserve">• Il n'est pas possible d'automatiser les tests unitaires,
• Les connecteurs ODBC présentent de nombreuses contraintes (lourdeur d'installation, anonymat des connexions),
• Le moteur de BDD Jet d'Access est peu performant,
• Toute requête SQL Server doit être réécrite en Jet SQL
• Les capacités de VBA restent limitées (peu d'API disponibles, modélisation objet embryonnaire, pas de gestion d'exceptions),
</t>
  </si>
  <si>
    <t xml:space="preserve">Solution logicielle de programmation permettant de générer du code natif par le biais d'une interface graphique et d'un langage intermédiaire simplifié. Ces solution permettent des temps de développement raccourcis qui se font au détriment des performances (rajout d'une couche applicative supplémentaire) Ex: Delphi, Windev, voire Access...
</t>
  </si>
  <si>
    <t>MySQL</t>
  </si>
  <si>
    <t xml:space="preserve">Application installée directement sur le poste de l'utilisateur (Access, formulaire Windows au format XAML). A chaque mise à jour, une nouvelle version de l'application doit être installée sur le poste de l'utilisateur.
</t>
  </si>
  <si>
    <t>XAML (formulaire)</t>
  </si>
  <si>
    <t xml:space="preserve">Langage Microsoft permettant de programmer des formulaires Windows au format XML (intégré dans la framework WPF - Windows Presentation Fondation - remplace les anciens Windows Forms).
</t>
  </si>
  <si>
    <t>J2EE 
(Java Entreprise Environement)</t>
  </si>
  <si>
    <t xml:space="preserve">Spécifications décrivant la structure selon laquelle doit s'implémenter une solution Java en mode architecture répartie.
</t>
  </si>
  <si>
    <r>
      <rPr>
        <b/>
        <u/>
        <sz val="11"/>
        <color theme="1"/>
        <rFont val="Calibri"/>
        <family val="2"/>
        <scheme val="minor"/>
      </rPr>
      <t>Conclusion</t>
    </r>
    <r>
      <rPr>
        <sz val="11"/>
        <color theme="1"/>
        <rFont val="Calibri"/>
        <family val="2"/>
        <scheme val="minor"/>
      </rPr>
      <t xml:space="preserve"> : Le projet Access permet d'obtenir des temps de développement intéressants à court terme, mais ces gains s'altèrent à moyen terme à mesure que l'application doit être modifiée, là où justement les possibilités de factorisation de code des langages plus évolués permettent des gains de productivité conséquents (découplage des couches applicatives, API prêtes à l'emploi, modélisation objet proche du modèle fonctionnel, réutilisation de composants génériques ),</t>
    </r>
  </si>
  <si>
    <t xml:space="preserve">• ADP permet de s'affranchir des connecteurs ODBC capricieux,
• Les connexions en mode Authenfication Windows permettent d'éviter les connexions utilisateur anonymes,
•Le meilleur découplage de l'application permet d'envisager une migration ultérieure en Dot Net,
</t>
  </si>
  <si>
    <t xml:space="preserve">Il s'agit d'une d'une interface permettant de faciliter la programmation de projets en offrant des fonctionnalités de gestion du code prêtes à l'emploi (automatisation de test, intégration de framework, gestion des références de bibliothèque). Ex: Eclipse, Visual Studio
</t>
  </si>
  <si>
    <t>HTML 5</t>
  </si>
  <si>
    <t>WCF</t>
  </si>
  <si>
    <t>ASP MVC</t>
  </si>
  <si>
    <t>HTML5 / JS</t>
  </si>
  <si>
    <t>Navigateur Web</t>
  </si>
  <si>
    <t>Web Service</t>
  </si>
  <si>
    <t>React JS</t>
  </si>
  <si>
    <t>IIS / DotNet</t>
  </si>
  <si>
    <t>SOAP</t>
  </si>
  <si>
    <t>SAP</t>
  </si>
  <si>
    <t>Hbase</t>
  </si>
  <si>
    <t>ERP</t>
  </si>
  <si>
    <t>Apache</t>
  </si>
  <si>
    <t>Node JS</t>
  </si>
  <si>
    <t>MongoDB</t>
  </si>
  <si>
    <t>REST API</t>
  </si>
  <si>
    <t>Express JS</t>
  </si>
  <si>
    <t>VCL</t>
  </si>
  <si>
    <t>Varnish cache</t>
  </si>
  <si>
    <t>Web service</t>
  </si>
  <si>
    <t>AJAX</t>
  </si>
  <si>
    <t>Anguar JS</t>
  </si>
  <si>
    <t>Full Web
Open source</t>
  </si>
  <si>
    <t>Full Web
Microsoft</t>
  </si>
  <si>
    <t>C# / XAML</t>
  </si>
  <si>
    <t>App Mobile / Tablette</t>
  </si>
  <si>
    <t>App Devices &amp; Mobiles</t>
  </si>
  <si>
    <t xml:space="preserve">Windows </t>
  </si>
  <si>
    <t>Androïd</t>
  </si>
  <si>
    <t>IOS</t>
  </si>
  <si>
    <t>Objective C</t>
  </si>
  <si>
    <t>API</t>
  </si>
  <si>
    <t>Java 8</t>
  </si>
  <si>
    <t>Architecture micro serveurs</t>
  </si>
  <si>
    <t>Architecture client lourd</t>
  </si>
  <si>
    <t>Architecture micro services</t>
  </si>
  <si>
    <t>Navigateur Internet</t>
  </si>
  <si>
    <t>PC / Poste de travail</t>
  </si>
  <si>
    <t>Linux</t>
  </si>
  <si>
    <t>Serveur d'application</t>
  </si>
  <si>
    <t>WebDev</t>
  </si>
  <si>
    <t>Wlangage</t>
  </si>
  <si>
    <t>WebService</t>
  </si>
  <si>
    <t>ERP / SAP</t>
  </si>
  <si>
    <t>BDD / SQL Server</t>
  </si>
  <si>
    <t>Code généré 
automatiquement</t>
  </si>
  <si>
    <t>Xamarin Forms</t>
  </si>
  <si>
    <t>Windev</t>
  </si>
  <si>
    <t>Programmation par formulaire</t>
  </si>
  <si>
    <t>Code
binaire</t>
  </si>
  <si>
    <t>One code to rule them all</t>
  </si>
  <si>
    <t>Architecture hybride</t>
  </si>
  <si>
    <t>Architecture répartie n-tiers</t>
  </si>
  <si>
    <t>ARCHITECTURE DES SOLUTIONS POSSIBLES POUR LE FUTUR CDSN - VERSION 2019</t>
  </si>
  <si>
    <t>8.</t>
  </si>
  <si>
    <t>9.</t>
  </si>
  <si>
    <t>10.</t>
  </si>
  <si>
    <t>11.</t>
  </si>
  <si>
    <t>12.</t>
  </si>
  <si>
    <t>Windows Form / WPF</t>
  </si>
  <si>
    <t>Windev
PC soft</t>
  </si>
  <si>
    <t>Xamarin
DotNet</t>
  </si>
  <si>
    <t>WPF 
DotNet</t>
  </si>
  <si>
    <t>RIA
DotNet</t>
  </si>
  <si>
    <t>Courbe d'apprentissage très élévé              Courbe d'apprentissage moyenne                  Courve d'apprentissage faible</t>
  </si>
  <si>
    <r>
      <rPr>
        <sz val="8"/>
        <color theme="1"/>
        <rFont val="Wingdings"/>
        <charset val="2"/>
      </rPr>
      <t>s</t>
    </r>
    <r>
      <rPr>
        <sz val="11"/>
        <color theme="1"/>
        <rFont val="Calibri"/>
        <family val="2"/>
      </rPr>
      <t xml:space="preserve"> Possibilité de développement en mode silo :</t>
    </r>
  </si>
  <si>
    <r>
      <rPr>
        <sz val="8"/>
        <color theme="1"/>
        <rFont val="Wingdings"/>
        <charset val="2"/>
      </rPr>
      <t>s</t>
    </r>
    <r>
      <rPr>
        <sz val="11"/>
        <color theme="1"/>
        <rFont val="Calibri"/>
        <family val="2"/>
      </rPr>
      <t xml:space="preserve"> Risque de rejets utilisateurs (aversion au changement)</t>
    </r>
    <r>
      <rPr>
        <sz val="11"/>
        <color theme="1"/>
        <rFont val="Calibri"/>
        <family val="2"/>
        <scheme val="minor"/>
      </rPr>
      <t xml:space="preserve"> :</t>
    </r>
  </si>
  <si>
    <r>
      <rPr>
        <sz val="8"/>
        <color theme="1"/>
        <rFont val="Wingdings"/>
        <charset val="2"/>
      </rPr>
      <t>s</t>
    </r>
    <r>
      <rPr>
        <sz val="11"/>
        <color theme="1"/>
        <rFont val="Calibri"/>
        <family val="2"/>
      </rPr>
      <t xml:space="preserve"> Compatibilité avec utilisateur en atelier industriel</t>
    </r>
    <r>
      <rPr>
        <sz val="11"/>
        <color theme="1"/>
        <rFont val="Calibri"/>
        <family val="2"/>
        <scheme val="minor"/>
      </rPr>
      <t xml:space="preserve"> :</t>
    </r>
  </si>
  <si>
    <r>
      <rPr>
        <sz val="8"/>
        <color theme="1"/>
        <rFont val="Wingdings"/>
        <charset val="2"/>
      </rPr>
      <t>s</t>
    </r>
    <r>
      <rPr>
        <sz val="11"/>
        <color theme="1"/>
        <rFont val="Calibri"/>
        <family val="2"/>
      </rPr>
      <t xml:space="preserve"> Pertinence vis-à-vis de l'infrastructure existante </t>
    </r>
    <r>
      <rPr>
        <sz val="11"/>
        <color theme="1"/>
        <rFont val="Calibri"/>
        <family val="2"/>
        <scheme val="minor"/>
      </rPr>
      <t>:</t>
    </r>
  </si>
  <si>
    <r>
      <rPr>
        <sz val="8"/>
        <color theme="1"/>
        <rFont val="Wingdings"/>
        <charset val="2"/>
      </rPr>
      <t>s</t>
    </r>
    <r>
      <rPr>
        <sz val="11"/>
        <color theme="1"/>
        <rFont val="Calibri"/>
        <family val="2"/>
      </rPr>
      <t xml:space="preserve"> Dialogue avec autres composants (imprimantes...)</t>
    </r>
    <r>
      <rPr>
        <sz val="11"/>
        <color theme="1"/>
        <rFont val="Calibri"/>
        <family val="2"/>
        <scheme val="minor"/>
      </rPr>
      <t xml:space="preserve"> :</t>
    </r>
  </si>
  <si>
    <r>
      <t xml:space="preserve">Adaptation au contexte CDSN </t>
    </r>
    <r>
      <rPr>
        <b/>
        <sz val="8"/>
        <color theme="1"/>
        <rFont val="Calibri"/>
        <family val="2"/>
        <scheme val="minor"/>
      </rPr>
      <t xml:space="preserve"> - coefficient 1</t>
    </r>
  </si>
  <si>
    <r>
      <rPr>
        <b/>
        <u/>
        <sz val="11"/>
        <color theme="1"/>
        <rFont val="Calibri"/>
        <family val="2"/>
        <scheme val="minor"/>
      </rPr>
      <t>Adaptation au contexte PhotoWatt</t>
    </r>
    <r>
      <rPr>
        <b/>
        <sz val="10"/>
        <color theme="1"/>
        <rFont val="Calibri"/>
        <family val="2"/>
        <scheme val="minor"/>
      </rPr>
      <t xml:space="preserve"> </t>
    </r>
    <r>
      <rPr>
        <b/>
        <sz val="8"/>
        <color theme="1"/>
        <rFont val="Calibri"/>
        <family val="2"/>
        <scheme val="minor"/>
      </rPr>
      <t>- coefficient 1</t>
    </r>
  </si>
  <si>
    <r>
      <rPr>
        <sz val="8"/>
        <color theme="1"/>
        <rFont val="Wingdings"/>
        <charset val="2"/>
      </rPr>
      <t>s</t>
    </r>
    <r>
      <rPr>
        <sz val="11"/>
        <color theme="1"/>
        <rFont val="Calibri"/>
        <family val="2"/>
      </rPr>
      <t xml:space="preserve"> Fonctionnement avec équipe IT réduite</t>
    </r>
    <r>
      <rPr>
        <sz val="11"/>
        <color theme="1"/>
        <rFont val="Calibri"/>
        <family val="2"/>
        <scheme val="minor"/>
      </rPr>
      <t xml:space="preserve"> :</t>
    </r>
  </si>
  <si>
    <r>
      <rPr>
        <sz val="8"/>
        <color theme="1"/>
        <rFont val="Wingdings"/>
        <charset val="2"/>
      </rPr>
      <t>s</t>
    </r>
    <r>
      <rPr>
        <sz val="11"/>
        <color theme="1"/>
        <rFont val="Calibri"/>
        <family val="2"/>
      </rPr>
      <t xml:space="preserve"> Délais et rapidité de nouveaux développements</t>
    </r>
    <r>
      <rPr>
        <sz val="11"/>
        <color theme="1"/>
        <rFont val="Calibri"/>
        <family val="2"/>
        <scheme val="minor"/>
      </rPr>
      <t xml:space="preserve"> :</t>
    </r>
  </si>
  <si>
    <r>
      <rPr>
        <sz val="8"/>
        <color theme="1"/>
        <rFont val="Wingdings"/>
        <charset val="2"/>
      </rPr>
      <t>s</t>
    </r>
    <r>
      <rPr>
        <sz val="11"/>
        <color theme="1"/>
        <rFont val="Calibri"/>
        <family val="2"/>
      </rPr>
      <t xml:space="preserve"> </t>
    </r>
    <r>
      <rPr>
        <sz val="11"/>
        <color theme="1"/>
        <rFont val="Calibri"/>
        <family val="2"/>
        <scheme val="minor"/>
      </rPr>
      <t>Coût par utilisateur :</t>
    </r>
  </si>
  <si>
    <r>
      <t xml:space="preserve">Opérationnel  </t>
    </r>
    <r>
      <rPr>
        <b/>
        <sz val="11"/>
        <color theme="1"/>
        <rFont val="Calibri"/>
        <family val="2"/>
        <scheme val="minor"/>
      </rPr>
      <t>-</t>
    </r>
    <r>
      <rPr>
        <b/>
        <sz val="8"/>
        <color theme="1"/>
        <rFont val="Calibri"/>
        <family val="2"/>
        <scheme val="minor"/>
      </rPr>
      <t xml:space="preserve"> coefficient 1</t>
    </r>
  </si>
  <si>
    <t>1. Solution Full Web Open Source</t>
  </si>
  <si>
    <t xml:space="preserve">• Les temps de développement d'un écran sont très courts grâce à une très grande factorisation des composants génériques,
•Un système de binding asynchrone efficace offre des temps de traitement et d'affichage des pages Web particulièrement rapides, tout en sollicitant au minimum les bases de données,
</t>
  </si>
  <si>
    <t xml:space="preserve">• Le FrameWork Angular JS est devenu le standard open source des applications Web développées aujourd'hui (plus du 1/3 des projets Web d'importance depuis 2013),
• Bien qu'open source, le framework est développé par les équipes de Google, ce qui assure une évolution et une amélioration constante sur les années à venir,
</t>
  </si>
  <si>
    <t xml:space="preserve">• L'apprentissage du framework Angular JS est particulièrement complexe et demande une bonne connaissance du Javascript,
• La solution étant actuellement très demandée, le taux journalier des consultants est plus élevé que pour d'autres technologies,
</t>
  </si>
  <si>
    <t>• Les applications purement Web sont avant tout destinées à des environnements complètement dématérialisés et les communications avec des périphériques clients lourds peuvent s'avérer parfois complexes (imprimantes, automates),
• Les interactions avec les composants systèmes sont parfois plus difficiles qu'avec un client lourd (accès API Win32),</t>
  </si>
  <si>
    <r>
      <rPr>
        <b/>
        <u/>
        <sz val="11"/>
        <color theme="1"/>
        <rFont val="Calibri"/>
        <family val="2"/>
        <scheme val="minor"/>
      </rPr>
      <t>Conclusion</t>
    </r>
    <r>
      <rPr>
        <sz val="11"/>
        <color theme="1"/>
        <rFont val="Calibri"/>
        <family val="2"/>
        <scheme val="minor"/>
      </rPr>
      <t xml:space="preserve"> : L'application Full Web permet de mettre à disposition l'application sur tout type d'écran (ordinateur, tablettes) très facilement, mais ce n'est pas forcément le choix le plus approprié pour le contexte industriel de CDSN (impression d'étiquettes…)</t>
    </r>
  </si>
  <si>
    <t>HTML5 - Javascript</t>
  </si>
  <si>
    <t>2. Solution Full Web Microsoft</t>
  </si>
  <si>
    <t>HTML5 - Javascript - C#</t>
  </si>
  <si>
    <t xml:space="preserve">• Le FrameWork React JS s'inscrit dans l'éco-système DotNet qui est l'un des plus dynamique du marché,
• La solution étant full Microsoft, le support et l'accompagnement éditeur est possible,
</t>
  </si>
  <si>
    <t xml:space="preserve">• Le mode responsive design permet un affichage statble et homogène autant sur PC que périphériques mobiles,
•Un système de binding asynchrone efficace offre des temps de traitement et d'affichage des pages Web particulièrement rapides, tout en sollicitant au minimum les bases de données,
</t>
  </si>
  <si>
    <t>C# - XAML - Java - Objective C</t>
  </si>
  <si>
    <t>3. Solution App &amp; devices mobiles</t>
  </si>
  <si>
    <t xml:space="preserve">• La partie Front-End étant spécifique à chaque périphérique, il est possible de personnliser l'application pour chaque type de support (les besoins pour un PC n'étant pas les mêmes que pour une consultation sur tablette),
•Sur les périphériques mobiles, les applications en mode Web utilisent des services Worker qui ralentissent les performances, quand les applications développées en mode natif sont beaucoup plus puissantes et rapides,
</t>
  </si>
  <si>
    <t xml:space="preserve">• Les coûts de développement sont forcément plus élevés car il faut développer une application pour chaque type de support,
•Aucun ingénieur n'est spécialisé sur toutes les plateformes mobiles, donc généralement ce type de projet nécessite plusieurs développeurs Front End,
</t>
  </si>
  <si>
    <t>• Comme pour les coûts de développement, les coûts de maintenance sont démultipliés, car pour chaque modification sur un écran utilisateur nécessite un développement sur chaque application,
• Les périphériques mobiles ne sont pas forcément adpatés à la culture métallurgiste de l'atelier Wafers, encore peu informatisé et dont l'appétence en nouvelles technologies serait déjà à tester en amont,</t>
  </si>
  <si>
    <t xml:space="preserve">• Les écrans utilisateur étant développés en mode client lourd, les interactions avec les composants système (impression, dialogue automate) sont beaucoup plus faciles et aisés,
• On peut se contenter de ne développer que pour le type de périphérique que l'on envisage de cibler, au lieu d'avoir recours à des frameworks full web, qui permettent de l'affichage sur tout type de support au prix d'une importante complexité,
</t>
  </si>
  <si>
    <r>
      <rPr>
        <b/>
        <u/>
        <sz val="11"/>
        <color theme="1"/>
        <rFont val="Calibri"/>
        <family val="2"/>
        <scheme val="minor"/>
      </rPr>
      <t>Conclusion</t>
    </r>
    <r>
      <rPr>
        <sz val="11"/>
        <color theme="1"/>
        <rFont val="Calibri"/>
        <family val="2"/>
        <scheme val="minor"/>
      </rPr>
      <t xml:space="preserve"> : L'application multi périphérique est plus approprié pour le contexte industriel de CDSN (impression d'étiquettes…) que la version Full Web mais elle reste onéreuse et peut être ambitieuse pour l'environnement PhotoWatt…</t>
    </r>
  </si>
  <si>
    <t>8. Solution WinDev PC soft</t>
  </si>
  <si>
    <t xml:space="preserve">• La plateforme dispose de nombreux connecteurs performants et prêts à l'emploi vers les différents ERP du marché (dont notamment ceux vers les plateformes SAP),
• La plateforme s'intègre parfaitement bien au sein d'une infrastructure Full Microsoft (intégration très facile avec SQL Server et les outils Office, dialogue avec les drivers d'imprimantes ou divers automates),
• La plateforme Windev permet aux développeurs de se concentrer sur la partie fonctionnelle et les différentes règles de gestion de leurs applications car tous les composants techniques génériques sont déjà intégrés. Ce produit est donc  très adapté pour les PME, car cela leur évite de réinventer la roue, 
</t>
  </si>
  <si>
    <t xml:space="preserve">• Le produit est français et n'est pas utilisé aux Etats Unis, ce qui peut être un frein pour une multi nationale (ce qui n'est pas encore le cas pour PhotoWatt),
</t>
  </si>
  <si>
    <t>• Le produit n'est pas forcément adapté pour les très grosses applications dépassant les milliers d'utilisateurs (ce qui n'est pas encore le cas de PhotoWatt),</t>
  </si>
  <si>
    <r>
      <rPr>
        <b/>
        <u/>
        <sz val="11"/>
        <color theme="1"/>
        <rFont val="Calibri"/>
        <family val="2"/>
        <scheme val="minor"/>
      </rPr>
      <t>Conclusion</t>
    </r>
    <r>
      <rPr>
        <sz val="11"/>
        <color theme="1"/>
        <rFont val="Calibri"/>
        <family val="2"/>
        <scheme val="minor"/>
      </rPr>
      <t xml:space="preserve"> : La plateforme Windev est très adaptée pour les PME industrielles comme PhotoWatt, qui ont des besoins métier spécifiques et des budgets limités… Cette plateforme combine les avantages d'Access (facilité, souplesse et rapidité de développement) avec les plus values des applications Web (gestion des multi-périphériques en Front End, souplesse de déploiement, architecture découplée en services, compatibilité avec les composants système récents, dialogue avec tout type de drivers), sans avoir ses défauts (obsolescence technique, lenteurs, raréfaction des prestataires...),</t>
    </r>
  </si>
  <si>
    <t xml:space="preserve">• La partie Front-End est très rapide et facile à programmer et permet de réaliser des projets multi plateformes en très peu de temps. De même, les modifications et ajustements sont aisés,
• Les licences sont plutôt bons marchés et s'avère moins couteuse que Visual Studio (les PME sont le coeur de cible),
Le langage (WLangage) de base utilisé est un dérivé du Visual Basic qui ne nécessite que quelques jours d'apprentissage pour un développeur non spécialisé,
• Très souple, elle combine les avantages du mode Full Web (une programmation d'écran pour plusieurs périphériques différents), et les bénéfices du client lourd (performances accrues et dialogue avec les composants systèmes),
</t>
  </si>
  <si>
    <t>Navigateur Web - Client lourd - Application native</t>
  </si>
  <si>
    <t>WLangage - SQL</t>
  </si>
  <si>
    <t>9. Solution Xamarin Forms</t>
  </si>
  <si>
    <t>C# - XAML - SQL</t>
  </si>
  <si>
    <t xml:space="preserve">• La plateforme s'intègre parfaitement bien au sein d'une infrastructure Full Microsoft puisque Xamarin a été racheté par l'éditeur en 2016,
</t>
  </si>
  <si>
    <t xml:space="preserve">• Les licences Xamarin sont très onéreuses et s'amortissent généralement sur un nombre d'utilisateurs important (plusieurs milliers) dans le contexte d'applications déployées dans des stores à l'échelle mondiale,
</t>
  </si>
  <si>
    <t>• Le produit est plutôt orienté application mobile et est sans doute over designé pour une application comme CDSN,</t>
  </si>
  <si>
    <t xml:space="preserve">• La partie Front-End est très rapide et facile à programmer et permet de réaliser des projets multi plateformes en très peu de temps. De même, les modifications et ajustements sont aisés,
</t>
  </si>
  <si>
    <r>
      <rPr>
        <b/>
        <u/>
        <sz val="11"/>
        <color theme="1"/>
        <rFont val="Calibri"/>
        <family val="2"/>
        <scheme val="minor"/>
      </rPr>
      <t>Conclusion</t>
    </r>
    <r>
      <rPr>
        <sz val="11"/>
        <color theme="1"/>
        <rFont val="Calibri"/>
        <family val="2"/>
        <scheme val="minor"/>
      </rPr>
      <t xml:space="preserve"> : La plateforme est techniquement séduisante mais peut être plus adaptée à un éditeur logiciel pure player dont la priorité serait les périphériques mobiles (et non un complément comme dans le cas de PhotoWatt). De plus les licences auront du mal à rentrer dans les budgets car l'amortissement de ce produit se fait généralement sur l'échelle de milliers d'utilisateurs,</t>
    </r>
  </si>
  <si>
    <t>4. Solution J2EE</t>
  </si>
  <si>
    <t>5. Solution ASP DotNet</t>
  </si>
  <si>
    <t>ASP 
DotNet</t>
  </si>
  <si>
    <t xml:space="preserve">• Bien qu' offrant la facilité d'utilisation des produits Microsoft, la puissance de la plate forme Visual Studio se paie par une courbe d'apprentissage malgré tout élevée,
• Comme tout framework, il y a un phénomène d'échelle et sur de petits projets, les délais de développement ne rivalisent pas  avec les solutions de programmation assistée (WinDev),
</t>
  </si>
  <si>
    <t xml:space="preserve">• La technologie ASP commence à être dépassée et n'est plus adaptée aux nouveaux environnements mobiles (tablettes...),
• Niveau infrastructure, la maîtrise des serveurs applicatifs Web IIS est nécessaire pour optimiser les temps de latence,
• Des compétences en Web design et programmation HTML restent nécessaires pour la création des écrans de l'application (l'alternative RIA Silverlight offre les meilleurs rendus mais nécessite un plug-in IE problématique avec les clients légers), </t>
  </si>
  <si>
    <r>
      <rPr>
        <b/>
        <u/>
        <sz val="11"/>
        <color theme="1"/>
        <rFont val="Calibri"/>
        <family val="2"/>
        <scheme val="minor"/>
      </rPr>
      <t>Conclusion</t>
    </r>
    <r>
      <rPr>
        <sz val="11"/>
        <color theme="1"/>
        <rFont val="Calibri"/>
        <family val="2"/>
        <scheme val="minor"/>
      </rPr>
      <t xml:space="preserve"> : Sur les petits projets, les délais à court terme ne sont pas forcément compétitifs, mais à moyen terme des gains de temps significatifs sur les développements d'évolutions et de correctifs sont envisageables.  Attention toutefois à l'obsolescence de la technologie ASP, qui ne semble pas avoir un avenir dans le contexte multi devices (tablettes, mobiles...),</t>
    </r>
  </si>
  <si>
    <t>10. Solution WPF - DotNet</t>
  </si>
  <si>
    <t xml:space="preserve">• La solution en client lourd ne permet pas un déploiement sur des périphériques mobiles,
</t>
  </si>
  <si>
    <t>• Les interfaces utilisateur restent d'un design et d'une ergonomie plus limitée qu'en mode Web,
• L'architecture client lourd pose les mêmes problématiques de déploiement et de maintenance Hotline que pour Access (déploiement sur les postes utilisateur),</t>
  </si>
  <si>
    <t>• La communication avec les composants système (imprimantes, drivers, automates) et les API Windows (Win32) est facile et complètement native,
• La programmation WPF (Windows Platform Foundation) par formulaire utilise le XAML, un mode de développement graphique en drag &amp; drop, qui est rapide et est aussi facile à utiliser qu'Access,</t>
  </si>
  <si>
    <r>
      <rPr>
        <b/>
        <u/>
        <sz val="11"/>
        <color theme="1"/>
        <rFont val="Calibri"/>
        <family val="2"/>
        <scheme val="minor"/>
      </rPr>
      <t>Conclusion</t>
    </r>
    <r>
      <rPr>
        <sz val="11"/>
        <color theme="1"/>
        <rFont val="Calibri"/>
        <family val="2"/>
        <scheme val="minor"/>
      </rPr>
      <t xml:space="preserve"> : Le projet en mode client lourd XAML offre une  valeur ajoutée potentielle par rapport à un projet Access, tout en conservant ses avantages. De plus, la courbe d'apprentissage en interne serait faible et les développements d'écran seraient faciles et relativement rapides ce qui permettrait d'envisager un projet CDSN à moindre coût et à délais resserrés,</t>
    </r>
  </si>
  <si>
    <t>Visual Basic - XAML - LINQ</t>
  </si>
  <si>
    <t xml:space="preserve">• Le mode Access ADP n'est plus supportée à parir de la version 2013 d'Access,
</t>
  </si>
  <si>
    <r>
      <rPr>
        <b/>
        <u/>
        <sz val="11"/>
        <color theme="1"/>
        <rFont val="Calibri"/>
        <family val="2"/>
        <scheme val="minor"/>
      </rPr>
      <t>Conclusion</t>
    </r>
    <r>
      <rPr>
        <sz val="11"/>
        <color theme="1"/>
        <rFont val="Calibri"/>
        <family val="2"/>
        <scheme val="minor"/>
      </rPr>
      <t xml:space="preserve"> : Le projet Access en mode ADP peut être vu comme un compromis entre Access et DotNet et peut constituer une étape intermédiaire avant une migration ultérieure vers une architecture en mode client Web.  Mais au vu de son incompatibilité avec les nouvelles versions d'Access, il n'est pas raisonnable d'envisager techniquement cette solution...</t>
    </r>
  </si>
  <si>
    <t>• Le VBA est limité et ne permet pas de profiter des outils de programmation moderne et des gains de productivité afférents (modélisation objet, framework, réutilisation de composants),
• Le déploiement et la maintenance d'application en mode client lourd est consommateur de ressources Hotline,</t>
  </si>
  <si>
    <t xml:space="preserve">• Les délais de création d'un projet sous Access peuvent être relativement courts et peu onéreux,
</t>
  </si>
  <si>
    <t>12. Solution Microsoft Access</t>
  </si>
  <si>
    <t xml:space="preserve">• Comme pour Angular JS, l'apprentissage de React JS peut s'avérer complexe et demande une bonne connaissance du Javascript,
• Il est rare que le même consultant soit Full stack et maîtrise toute la chaîne de développement en raison des multiples technologies à connaître, d'où un prix plancher du projet potentiellement plus élevé,
</t>
  </si>
  <si>
    <t xml:space="preserve">• Le framework Zend permet des gains en temps de développement en raison de la mise à disposition de toutes les briques génériques (authentification, naviagtion),
</t>
  </si>
  <si>
    <t xml:space="preserve">• La technologie PHP est assez ancienne et il existe de très nombreux développeurs, d'où un taux journalier plutôt abordable,
</t>
  </si>
  <si>
    <t xml:space="preserve">• Le PHP est destiné aux sites Web mais s'avère peu pertinent pour les applications industrielles,
</t>
  </si>
  <si>
    <t>• Le dialogue avec les API système (Win32) et les drivers d'imprimante peut s'avérer complexe avec PHP car ce n'est pas son usage premier,</t>
  </si>
  <si>
    <r>
      <rPr>
        <b/>
        <u/>
        <sz val="11"/>
        <color theme="1"/>
        <rFont val="Calibri"/>
        <family val="2"/>
        <scheme val="minor"/>
      </rPr>
      <t>Conclusion</t>
    </r>
    <r>
      <rPr>
        <sz val="11"/>
        <color theme="1"/>
        <rFont val="Calibri"/>
        <family val="2"/>
        <scheme val="minor"/>
      </rPr>
      <t xml:space="preserve"> : Un projet PHP avec Framework Zend est parfait pour le déploiement d'un site Web mais n'a pas de réelle pertinence pour un projet d'application de suivi de traçabilité en environnement industriel.</t>
    </r>
  </si>
  <si>
    <t>Client Web enrichi (RIA)</t>
  </si>
  <si>
    <t>SilverLight - C# - LINK</t>
  </si>
  <si>
    <t xml:space="preserve">• Le mode client SilverLight est réputé pour le très beau design et la grande qualité graphique des applications qu'il peut proposer,
• Les interfaces Web offrent ergonomie et design premium (très utilisé pour les jeux notamment,
</t>
  </si>
  <si>
    <t xml:space="preserve">• Les bénéfices en terme de développement et de code reste les mêmes que pour la solution ASP DotNet,
</t>
  </si>
  <si>
    <t xml:space="preserve">• Le silverlight est assez long à appréhender pour un développeur, car il s'agit avant tout d'un langage à destination des graphistes,
</t>
  </si>
  <si>
    <t xml:space="preserve">• La technologie Silverlight est en pleine obsolescence, et celle-ci ne sera sans doute pas supportée par les futurs navigateurs Web,
• Le mode client Web RIA Silverlight offre de bons rendus mais à l'instar de son homologue Adobe, Flash Player, il nécessite un plug-in IE parfois problématique avec les clients légers (mise à jour, problème de sécurité), </t>
  </si>
  <si>
    <r>
      <rPr>
        <b/>
        <u/>
        <sz val="11"/>
        <color theme="1"/>
        <rFont val="Calibri"/>
        <family val="2"/>
        <scheme val="minor"/>
      </rPr>
      <t>Conclusion</t>
    </r>
    <r>
      <rPr>
        <sz val="11"/>
        <color theme="1"/>
        <rFont val="Calibri"/>
        <family val="2"/>
        <scheme val="minor"/>
      </rPr>
      <t xml:space="preserve"> : Comme Adobe Flash Player, cette solution est la preuve parfaite de la rapide obsolescence des technologies de développement Web. Très ancrée, il y a encore 5 ans, sur certains secteurs niches du développement Web (jeux, applications financières et industrielles en temps réel), la technologie est aujourd'hui abandonnée et ne sera plus supportée par les futures versions des principaux navigateurs Web...</t>
    </r>
  </si>
  <si>
    <t>6. Solution SilverLight DotNet</t>
  </si>
  <si>
    <t>13.</t>
  </si>
  <si>
    <t>MES
ERP</t>
  </si>
  <si>
    <t>Code propriétaire</t>
  </si>
  <si>
    <t>ABAP</t>
  </si>
  <si>
    <t xml:space="preserve">SQL Server </t>
  </si>
  <si>
    <t>SAP Hana</t>
  </si>
  <si>
    <t>Connecteurs propriétaires</t>
  </si>
  <si>
    <t>Architecture ERP</t>
  </si>
  <si>
    <t>ERP - Module MES</t>
  </si>
  <si>
    <t>13. Solution MES ERP</t>
  </si>
  <si>
    <t>Architecture ERP propriétaire</t>
  </si>
  <si>
    <t>Ecrans SAP</t>
  </si>
  <si>
    <t xml:space="preserve">• L'ERP permet de bénéficier de briques standards prêtes à l'emploi, qui ont été enrichies et améliorées au fil des années par de multiples remontées utilisateur évoluant dans des contextes industriels concurrentiels,
• Cette solution permet de ne pas avoir à réinventer la roue sur des besoins génériques et standards,
</t>
  </si>
  <si>
    <t xml:space="preserve">• L'une des grosses plus values serait la complète harmonisation des données ERP et traçabilité, ce qui simplifierait les reporting de l'UAP Wafers (actuellement les données CDSN et Baan ne se recoupent pas toujours),
• Le cadre structurant imposé par l'ERP pourrait être bénéfique sur les méthodes de travail (le développement spécifique permettant justement le contraire),
• Le MES permettrait de mieux encadrer les dépenses de développement sur la traçabilité (l'horizon des possibles n'inspire pas la frugalité des demandes utilisateur),
</t>
  </si>
  <si>
    <t xml:space="preserve">
• La solution du MES n'est envisageable que si un nouvel ERP étant mis en place dans la nouvelle entité Crystal Advanced,
• La personnalisation de l'outil de traçabilité est beaucoup moins flexible et généralement il est nécessaire de rester sur le périmètre des besoins utilisateurs standards,</t>
  </si>
  <si>
    <t xml:space="preserve">
• Le coût des licences et des consultants SAP peuvent très vite faire gonfler la facture du projet,
• Le reporting serait sans à refaire (passage à Business Object), ce qui augmentera également les coûts éventuels,</t>
  </si>
  <si>
    <r>
      <rPr>
        <b/>
        <u/>
        <sz val="11"/>
        <color theme="1"/>
        <rFont val="Calibri"/>
        <family val="2"/>
        <scheme val="minor"/>
      </rPr>
      <t>Conclusion</t>
    </r>
    <r>
      <rPr>
        <sz val="11"/>
        <color theme="1"/>
        <rFont val="Calibri"/>
        <family val="2"/>
        <scheme val="minor"/>
      </rPr>
      <t xml:space="preserve"> : Dans l'hypothèse d'un déploiement SAP, la solution du MES peut s'avérer pertinente dans le cadre de PhotoWatt mais nécessiterait une étude plus approfondie pour évaluer les coûts potentiels et la couverture fonctionnelle des besoins utilisateur,</t>
    </r>
  </si>
  <si>
    <t>11. Solution Access mode ADP</t>
  </si>
  <si>
    <t>Architecture client lour - mono poste</t>
  </si>
  <si>
    <t>7. Solution PHP - ZEND</t>
  </si>
  <si>
    <t>Programmtion Full Web</t>
  </si>
  <si>
    <t>Projets basés sur des technologies de développement purement Web (HTML5 / Javascript) avec des interfaces client basé sur un navigateur Web. Généralement des projets s'appuie sur des frameworks javascript permettent d'industrialiser les développements (Angular JS, React JS, JQuery) pour la partie Front End, (Node JS, Express JS) pour la partie Back end.</t>
  </si>
  <si>
    <t>Récapitulatif</t>
  </si>
  <si>
    <t>1. Solution Full Web</t>
  </si>
  <si>
    <t>Liste des choix</t>
  </si>
  <si>
    <t>Liste des choix possibles</t>
  </si>
  <si>
    <t>3. Solution App devices mobiles</t>
  </si>
  <si>
    <t>7. Solution PHP</t>
  </si>
  <si>
    <t>8. Solution WinDev</t>
  </si>
  <si>
    <t>9. Solution Xamarin</t>
  </si>
  <si>
    <t xml:space="preserve">10. Solution WPF -DotNet </t>
  </si>
  <si>
    <t>11. Solution Access ADP</t>
  </si>
  <si>
    <t>12. Solution Access</t>
  </si>
  <si>
    <t>Glossaire</t>
  </si>
  <si>
    <t>Score technique</t>
  </si>
  <si>
    <t>Score contextuel</t>
  </si>
  <si>
    <t>Scoring total</t>
  </si>
  <si>
    <t>Commentaires</t>
  </si>
  <si>
    <t>Solutions potentielles</t>
  </si>
  <si>
    <t>Synergie avec l'ERP - Facilité de la maintenance</t>
  </si>
  <si>
    <t>Développement facile et rapide - mais uniquement clients lourds (pas de tablette ou de Web)</t>
  </si>
  <si>
    <t>Coût faible - développement facile et rapide -déploiement Web, tablette &amp; clients lourds (imprimantes)</t>
  </si>
  <si>
    <t>Solution trop exigente en terme de budget et de ressources</t>
  </si>
  <si>
    <t>Solution de secours si jamais aucun budget n'était disponible</t>
  </si>
  <si>
    <t>Environnement Java non pertinent pour l'infrastructure PWT</t>
  </si>
  <si>
    <t>Développements pages Web assez longs - ni tablette ni mobile - communications imprimantes moins aisées</t>
  </si>
  <si>
    <t>Très bonne solution technique mais non adaptée au contexte de l'application CDSN</t>
  </si>
  <si>
    <t>Solution trop exigente techniquement au vu des délais et des ressources internes</t>
  </si>
  <si>
    <t>A n'envisager que pour des sites Web</t>
  </si>
  <si>
    <t>Solution devenue techniquement obsolète malgré d'indéniables avantages</t>
  </si>
  <si>
    <t>Solution onéreuse et plutôt destinée aux applications purement mobiles</t>
  </si>
  <si>
    <t>Solution abandonnée par Microsoft malgré d'intéressantes plus values dans le contexte PWT</t>
  </si>
  <si>
    <t>PHP - HTML - CSS</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</si>
</sst>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sz val="8"/>
      <color theme="1"/>
      <name val="Wingdings"/>
      <charset val="2"/>
    </font>
    <font>
      <sz val="11"/>
      <color theme="1"/>
      <name val="Calibri"/>
      <family val="2"/>
    </font>
    <font>
      <b/>
      <sz val="12"/>
      <color theme="0"/>
      <name val="Calibri"/>
      <family val="2"/>
      <scheme val="minor"/>
    </font>
    <font>
      <b/>
      <sz val="18"/>
      <color theme="0"/>
      <name val="Calibri"/>
      <family val="2"/>
      <scheme val="minor"/>
    </font>
    <font>
      <i/>
      <sz val="11"/>
      <color theme="1"/>
      <name val="Calibri"/>
      <family val="2"/>
      <scheme val="minor"/>
    </font>
    <font>
      <sz val="12"/>
      <color theme="1"/>
      <name val="Calibri"/>
      <family val="2"/>
      <scheme val="minor"/>
    </font>
    <font>
      <i/>
      <sz val="12"/>
      <color theme="1"/>
      <name val="Calibri"/>
      <family val="2"/>
      <scheme val="minor"/>
    </font>
    <font>
      <b/>
      <i/>
      <sz val="11"/>
      <color theme="1"/>
      <name val="Calibri"/>
      <family val="2"/>
      <scheme val="minor"/>
    </font>
    <font>
      <b/>
      <sz val="14"/>
      <color theme="1"/>
      <name val="Calibri"/>
      <family val="2"/>
      <scheme val="minor"/>
    </font>
    <font>
      <b/>
      <u/>
      <sz val="11"/>
      <color theme="1"/>
      <name val="Calibri"/>
      <family val="2"/>
      <scheme val="minor"/>
    </font>
    <font>
      <b/>
      <sz val="8"/>
      <color theme="1"/>
      <name val="Calibri"/>
      <family val="2"/>
      <scheme val="minor"/>
    </font>
    <font>
      <u/>
      <sz val="14"/>
      <color theme="1"/>
      <name val="Calibri"/>
      <family val="2"/>
      <scheme val="minor"/>
    </font>
    <font>
      <b/>
      <u/>
      <sz val="14"/>
      <color theme="0"/>
      <name val="Calibri"/>
      <family val="2"/>
      <scheme val="minor"/>
    </font>
    <font>
      <b/>
      <i/>
      <u/>
      <sz val="11"/>
      <color theme="1"/>
      <name val="Calibri"/>
      <family val="2"/>
      <scheme val="minor"/>
    </font>
    <font>
      <b/>
      <sz val="10"/>
      <color theme="1"/>
      <name val="Calibri"/>
      <family val="2"/>
      <scheme val="minor"/>
    </font>
    <font>
      <sz val="9"/>
      <color theme="1"/>
      <name val="Calibri"/>
      <family val="2"/>
      <scheme val="minor"/>
    </font>
    <font>
      <b/>
      <sz val="10"/>
      <color theme="0"/>
      <name val="Calibri"/>
      <family val="2"/>
      <scheme val="minor"/>
    </font>
    <font>
      <sz val="8"/>
      <color theme="1"/>
      <name val="Calibri"/>
      <family val="2"/>
      <scheme val="minor"/>
    </font>
  </fonts>
  <fills count="36">
    <fill>
      <patternFill patternType="none"/>
    </fill>
    <fill>
      <patternFill patternType="gray125"/>
    </fill>
    <fill>
      <gradientFill>
        <stop position="0">
          <color theme="0"/>
        </stop>
        <stop position="1">
          <color theme="4"/>
        </stop>
      </gradientFill>
    </fill>
    <fill>
      <patternFill patternType="solid">
        <fgColor theme="4" tint="-0.49998474074526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bgColor indexed="64"/>
      </patternFill>
    </fill>
    <fill>
      <patternFill patternType="solid">
        <fgColor theme="6" tint="-0.49998474074526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bgColor indexed="64"/>
      </patternFill>
    </fill>
    <fill>
      <patternFill patternType="solid">
        <fgColor theme="4" tint="-0.249977111117893"/>
        <bgColor indexed="64"/>
      </patternFill>
    </fill>
    <fill>
      <patternFill patternType="solid">
        <fgColor theme="2"/>
        <bgColor indexed="64"/>
      </patternFill>
    </fill>
    <fill>
      <patternFill patternType="solid">
        <fgColor theme="2" tint="-9.9978637043366805E-2"/>
        <bgColor indexed="64"/>
      </patternFill>
    </fill>
    <fill>
      <patternFill patternType="solid">
        <fgColor theme="1"/>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theme="2" tint="-0.749992370372631"/>
        <bgColor indexed="64"/>
      </patternFill>
    </fill>
    <fill>
      <patternFill patternType="solid">
        <fgColor theme="4" tint="0.79998168889431442"/>
        <bgColor indexed="64"/>
      </patternFill>
    </fill>
    <fill>
      <patternFill patternType="solid">
        <fgColor theme="4"/>
        <bgColor indexed="64"/>
      </patternFill>
    </fill>
    <fill>
      <patternFill patternType="solid">
        <fgColor theme="6"/>
        <bgColor indexed="64"/>
      </patternFill>
    </fill>
    <fill>
      <patternFill patternType="solid">
        <fgColor theme="7"/>
        <bgColor indexed="64"/>
      </patternFill>
    </fill>
    <fill>
      <patternFill patternType="solid">
        <fgColor theme="4" tint="0.59999389629810485"/>
        <bgColor indexed="64"/>
      </patternFill>
    </fill>
    <fill>
      <patternFill patternType="solid">
        <fgColor theme="8"/>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9" tint="-0.249977111117893"/>
        <bgColor indexed="64"/>
      </patternFill>
    </fill>
  </fills>
  <borders count="46">
    <border>
      <left/>
      <right/>
      <top/>
      <bottom/>
      <diagonal/>
    </border>
    <border>
      <left/>
      <right/>
      <top style="hair">
        <color auto="1"/>
      </top>
      <bottom/>
      <diagonal/>
    </border>
    <border>
      <left/>
      <right/>
      <top style="thin">
        <color theme="0"/>
      </top>
      <bottom/>
      <diagonal/>
    </border>
    <border>
      <left/>
      <right/>
      <top style="thin">
        <color theme="0"/>
      </top>
      <bottom style="thin">
        <color theme="0"/>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thin">
        <color auto="1"/>
      </top>
      <bottom style="hair">
        <color auto="1"/>
      </bottom>
      <diagonal/>
    </border>
    <border>
      <left style="hair">
        <color auto="1"/>
      </left>
      <right style="hair">
        <color auto="1"/>
      </right>
      <top style="hair">
        <color auto="1"/>
      </top>
      <bottom style="thin">
        <color auto="1"/>
      </bottom>
      <diagonal/>
    </border>
    <border>
      <left style="thick">
        <color theme="0"/>
      </left>
      <right style="hair">
        <color auto="1"/>
      </right>
      <top style="thick">
        <color theme="0"/>
      </top>
      <bottom style="thick">
        <color theme="0"/>
      </bottom>
      <diagonal/>
    </border>
    <border>
      <left style="hair">
        <color auto="1"/>
      </left>
      <right style="hair">
        <color auto="1"/>
      </right>
      <top style="thick">
        <color theme="0"/>
      </top>
      <bottom style="thick">
        <color theme="0"/>
      </bottom>
      <diagonal/>
    </border>
    <border>
      <left style="hair">
        <color auto="1"/>
      </left>
      <right style="thick">
        <color theme="0"/>
      </right>
      <top style="thick">
        <color theme="0"/>
      </top>
      <bottom style="thick">
        <color theme="0"/>
      </bottom>
      <diagonal/>
    </border>
    <border>
      <left/>
      <right/>
      <top style="mediumDashed">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theme="0"/>
      </bottom>
      <diagonal/>
    </border>
    <border>
      <left style="thin">
        <color auto="1"/>
      </left>
      <right style="hair">
        <color auto="1"/>
      </right>
      <top style="hair">
        <color auto="1"/>
      </top>
      <bottom/>
      <diagonal/>
    </border>
    <border>
      <left style="hair">
        <color auto="1"/>
      </left>
      <right style="thin">
        <color auto="1"/>
      </right>
      <top style="hair">
        <color auto="1"/>
      </top>
      <bottom/>
      <diagonal/>
    </border>
    <border>
      <left/>
      <right style="thin">
        <color auto="1"/>
      </right>
      <top style="thin">
        <color auto="1"/>
      </top>
      <bottom style="hair">
        <color auto="1"/>
      </bottom>
      <diagonal/>
    </border>
    <border>
      <left/>
      <right style="thin">
        <color auto="1"/>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top/>
      <bottom/>
      <diagonal/>
    </border>
    <border>
      <left/>
      <right style="thin">
        <color auto="1"/>
      </right>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right/>
      <top/>
      <bottom style="mediumDashed">
        <color auto="1"/>
      </bottom>
      <diagonal/>
    </border>
    <border>
      <left style="hair">
        <color auto="1"/>
      </left>
      <right style="thin">
        <color auto="1"/>
      </right>
      <top/>
      <bottom/>
      <diagonal/>
    </border>
    <border>
      <left style="hair">
        <color auto="1"/>
      </left>
      <right style="thin">
        <color auto="1"/>
      </right>
      <top/>
      <bottom style="thin">
        <color auto="1"/>
      </bottom>
      <diagonal/>
    </border>
    <border>
      <left/>
      <right/>
      <top style="hair">
        <color auto="1"/>
      </top>
      <bottom style="thin">
        <color auto="1"/>
      </bottom>
      <diagonal/>
    </border>
    <border>
      <left style="hair">
        <color auto="1"/>
      </left>
      <right style="thin">
        <color auto="1"/>
      </right>
      <top style="thin">
        <color auto="1"/>
      </top>
      <bottom/>
      <diagonal/>
    </border>
    <border>
      <left style="hair">
        <color auto="1"/>
      </left>
      <right/>
      <top style="hair">
        <color auto="1"/>
      </top>
      <bottom style="thin">
        <color auto="1"/>
      </bottom>
      <diagonal/>
    </border>
    <border>
      <left/>
      <right/>
      <top style="thin">
        <color auto="1"/>
      </top>
      <bottom style="hair">
        <color auto="1"/>
      </bottom>
      <diagonal/>
    </border>
    <border>
      <left style="thin">
        <color auto="1"/>
      </left>
      <right/>
      <top style="hair">
        <color auto="1"/>
      </top>
      <bottom/>
      <diagonal/>
    </border>
    <border>
      <left/>
      <right style="thin">
        <color auto="1"/>
      </right>
      <top style="hair">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style="hair">
        <color auto="1"/>
      </left>
      <right style="hair">
        <color auto="1"/>
      </right>
      <top/>
      <bottom style="hair">
        <color auto="1"/>
      </bottom>
      <diagonal/>
    </border>
    <border>
      <left style="hair">
        <color auto="1"/>
      </left>
      <right style="hair">
        <color auto="1"/>
      </right>
      <top style="hair">
        <color auto="1"/>
      </top>
      <bottom style="medium">
        <color rgb="FFFF0000"/>
      </bottom>
      <diagonal/>
    </border>
  </borders>
  <cellStyleXfs count="1">
    <xf numFmtId="0" fontId="0" fillId="0" borderId="0"/>
  </cellStyleXfs>
  <cellXfs count="252">
    <xf numFmtId="0" fontId="0" fillId="0" borderId="0" xfId="0"/>
    <xf numFmtId="0" fontId="0" fillId="0" borderId="0" xfId="0" applyAlignment="1">
      <alignment vertical="center"/>
    </xf>
    <xf numFmtId="0" fontId="2" fillId="0" borderId="0" xfId="0" applyFont="1" applyAlignment="1">
      <alignment wrapText="1"/>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0" xfId="0" applyBorder="1"/>
    <xf numFmtId="0" fontId="2" fillId="16" borderId="8" xfId="0" applyFont="1" applyFill="1" applyBorder="1" applyAlignment="1">
      <alignment horizontal="center" vertical="center"/>
    </xf>
    <xf numFmtId="0" fontId="2" fillId="16" borderId="9" xfId="0" applyFont="1" applyFill="1" applyBorder="1" applyAlignment="1">
      <alignment horizontal="center" vertical="center"/>
    </xf>
    <xf numFmtId="0" fontId="9" fillId="0" borderId="0" xfId="0" applyFont="1" applyBorder="1" applyAlignment="1">
      <alignment horizontal="center" vertical="center"/>
    </xf>
    <xf numFmtId="0" fontId="9" fillId="0" borderId="0" xfId="0" applyFont="1" applyBorder="1" applyAlignment="1">
      <alignment vertical="center"/>
    </xf>
    <xf numFmtId="0" fontId="9" fillId="0" borderId="0" xfId="0" applyFont="1" applyAlignment="1">
      <alignment horizontal="center" vertical="center"/>
    </xf>
    <xf numFmtId="0" fontId="9" fillId="0" borderId="0" xfId="0" applyFont="1" applyAlignment="1">
      <alignment vertical="center"/>
    </xf>
    <xf numFmtId="0" fontId="0" fillId="0" borderId="15" xfId="0" applyBorder="1" applyAlignment="1">
      <alignment vertical="center"/>
    </xf>
    <xf numFmtId="0" fontId="2" fillId="0" borderId="0" xfId="0" applyFont="1"/>
    <xf numFmtId="0" fontId="2" fillId="0" borderId="0" xfId="0" applyFont="1" applyAlignment="1">
      <alignment vertical="center"/>
    </xf>
    <xf numFmtId="0" fontId="2" fillId="0" borderId="0" xfId="0" applyFont="1" applyBorder="1" applyAlignment="1">
      <alignment vertical="center"/>
    </xf>
    <xf numFmtId="0" fontId="2" fillId="0" borderId="15" xfId="0" applyFont="1" applyBorder="1" applyAlignment="1">
      <alignment vertical="center"/>
    </xf>
    <xf numFmtId="0" fontId="2" fillId="0" borderId="0" xfId="0" applyFont="1" applyBorder="1"/>
    <xf numFmtId="0" fontId="1" fillId="0" borderId="0" xfId="0" applyFont="1" applyBorder="1" applyAlignment="1">
      <alignment vertical="center"/>
    </xf>
    <xf numFmtId="0" fontId="10" fillId="0" borderId="0" xfId="0" applyFont="1" applyAlignment="1">
      <alignment vertical="center" textRotation="90"/>
    </xf>
    <xf numFmtId="0" fontId="6" fillId="0" borderId="0" xfId="0" applyFont="1"/>
    <xf numFmtId="0" fontId="8" fillId="3" borderId="0" xfId="0" applyFont="1" applyFill="1" applyBorder="1" applyAlignment="1">
      <alignment horizontal="center" vertical="center" wrapText="1"/>
    </xf>
    <xf numFmtId="0" fontId="4" fillId="3" borderId="0" xfId="0" applyFont="1" applyFill="1" applyAlignment="1">
      <alignment horizontal="center" vertical="center"/>
    </xf>
    <xf numFmtId="0" fontId="3" fillId="0" borderId="0" xfId="0" applyFont="1" applyAlignment="1">
      <alignment horizontal="center"/>
    </xf>
    <xf numFmtId="0" fontId="3" fillId="0" borderId="0" xfId="0" applyFont="1"/>
    <xf numFmtId="0" fontId="14" fillId="0" borderId="0" xfId="0" applyFont="1" applyAlignment="1">
      <alignment horizontal="left" indent="1"/>
    </xf>
    <xf numFmtId="0" fontId="1" fillId="18" borderId="0" xfId="0" applyFont="1" applyFill="1" applyAlignment="1">
      <alignment horizontal="right"/>
    </xf>
    <xf numFmtId="0" fontId="7" fillId="3" borderId="19" xfId="0" applyFont="1" applyFill="1" applyBorder="1" applyAlignment="1">
      <alignment horizontal="left" vertical="center" wrapText="1" indent="5"/>
    </xf>
    <xf numFmtId="0" fontId="0" fillId="13" borderId="0" xfId="0" applyFont="1" applyFill="1" applyBorder="1" applyAlignment="1">
      <alignment horizontal="left" wrapText="1" indent="5"/>
    </xf>
    <xf numFmtId="0" fontId="9" fillId="0" borderId="0" xfId="0" applyFont="1"/>
    <xf numFmtId="0" fontId="2" fillId="0" borderId="4" xfId="0" applyFont="1" applyBorder="1" applyAlignment="1">
      <alignment horizontal="left" vertical="center" indent="1"/>
    </xf>
    <xf numFmtId="0" fontId="0" fillId="0" borderId="5" xfId="0" applyBorder="1" applyAlignment="1">
      <alignment vertical="top" wrapText="1"/>
    </xf>
    <xf numFmtId="0" fontId="2" fillId="0" borderId="6" xfId="0" applyFont="1" applyBorder="1" applyAlignment="1">
      <alignment horizontal="left" vertical="center" indent="1"/>
    </xf>
    <xf numFmtId="0" fontId="0" fillId="0" borderId="7" xfId="0" applyBorder="1" applyAlignment="1">
      <alignment vertical="top" wrapText="1"/>
    </xf>
    <xf numFmtId="0" fontId="2" fillId="0" borderId="8" xfId="0" applyFont="1" applyBorder="1" applyAlignment="1">
      <alignment horizontal="left" vertical="center" indent="1"/>
    </xf>
    <xf numFmtId="0" fontId="0" fillId="0" borderId="9" xfId="0" applyBorder="1" applyAlignment="1">
      <alignment vertical="top" wrapText="1"/>
    </xf>
    <xf numFmtId="0" fontId="2" fillId="0" borderId="6" xfId="0" applyFont="1" applyBorder="1" applyAlignment="1">
      <alignment horizontal="left" vertical="center" wrapText="1" indent="1"/>
    </xf>
    <xf numFmtId="0" fontId="2" fillId="0" borderId="1" xfId="0" applyFont="1" applyBorder="1" applyAlignment="1">
      <alignment vertical="center"/>
    </xf>
    <xf numFmtId="0" fontId="0" fillId="0" borderId="1" xfId="0" applyBorder="1" applyAlignment="1">
      <alignment vertical="center"/>
    </xf>
    <xf numFmtId="0" fontId="9" fillId="0" borderId="1" xfId="0" applyFont="1" applyBorder="1" applyAlignment="1">
      <alignment vertical="center"/>
    </xf>
    <xf numFmtId="0" fontId="0" fillId="0" borderId="21" xfId="0" applyBorder="1" applyAlignment="1">
      <alignment vertical="top" wrapText="1"/>
    </xf>
    <xf numFmtId="0" fontId="2" fillId="0" borderId="20" xfId="0" applyFont="1" applyBorder="1" applyAlignment="1">
      <alignment horizontal="left" vertical="center" wrapText="1" indent="1"/>
    </xf>
    <xf numFmtId="0" fontId="9" fillId="0" borderId="0" xfId="0" applyFont="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7" fillId="3" borderId="19" xfId="0" applyFont="1" applyFill="1" applyBorder="1" applyAlignment="1">
      <alignment horizontal="left" vertical="center" wrapText="1" indent="5"/>
    </xf>
    <xf numFmtId="0" fontId="0" fillId="13" borderId="0" xfId="0" applyFont="1" applyFill="1" applyBorder="1" applyAlignment="1">
      <alignment horizontal="left" wrapText="1" indent="5"/>
    </xf>
    <xf numFmtId="0" fontId="8" fillId="3" borderId="0" xfId="0" applyFont="1" applyFill="1" applyBorder="1" applyAlignment="1">
      <alignment horizontal="center" vertical="center" wrapText="1"/>
    </xf>
    <xf numFmtId="0" fontId="4" fillId="3" borderId="0" xfId="0" applyFont="1" applyFill="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8" fillId="3" borderId="0" xfId="0" applyFont="1" applyFill="1" applyBorder="1" applyAlignment="1">
      <alignment horizontal="center" vertical="center" wrapText="1"/>
    </xf>
    <xf numFmtId="0" fontId="4" fillId="3" borderId="0" xfId="0" applyFont="1" applyFill="1" applyAlignment="1">
      <alignment horizontal="center" vertical="center"/>
    </xf>
    <xf numFmtId="0" fontId="7" fillId="3" borderId="19" xfId="0" applyFont="1" applyFill="1" applyBorder="1" applyAlignment="1">
      <alignment horizontal="left" vertical="center" wrapText="1" indent="5"/>
    </xf>
    <xf numFmtId="0" fontId="0" fillId="13" borderId="0" xfId="0" applyFont="1" applyFill="1" applyBorder="1" applyAlignment="1">
      <alignment horizontal="left" wrapText="1" indent="5"/>
    </xf>
    <xf numFmtId="0" fontId="0" fillId="0" borderId="25" xfId="0" applyBorder="1" applyAlignment="1">
      <alignment horizontal="center" vertical="center"/>
    </xf>
    <xf numFmtId="0" fontId="9" fillId="0" borderId="0" xfId="0" applyFont="1" applyBorder="1" applyAlignment="1">
      <alignment horizontal="center"/>
    </xf>
    <xf numFmtId="0" fontId="0" fillId="0" borderId="0" xfId="0" applyBorder="1" applyAlignment="1">
      <alignment horizontal="center" vertical="center"/>
    </xf>
    <xf numFmtId="0" fontId="16" fillId="0" borderId="0" xfId="0" applyFont="1"/>
    <xf numFmtId="0" fontId="16" fillId="0" borderId="0" xfId="0" applyFont="1" applyBorder="1"/>
    <xf numFmtId="0" fontId="2" fillId="0" borderId="30" xfId="0" applyFont="1" applyBorder="1" applyAlignment="1">
      <alignment vertical="center"/>
    </xf>
    <xf numFmtId="0" fontId="0" fillId="0" borderId="30" xfId="0" applyBorder="1" applyAlignment="1">
      <alignment vertical="center"/>
    </xf>
    <xf numFmtId="0" fontId="0" fillId="0" borderId="3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left" vertical="center" indent="1"/>
    </xf>
    <xf numFmtId="0" fontId="0" fillId="0" borderId="8" xfId="0" applyBorder="1" applyAlignment="1">
      <alignment horizontal="left" vertical="center" indent="1"/>
    </xf>
    <xf numFmtId="0" fontId="0" fillId="18" borderId="4" xfId="0" applyFill="1" applyBorder="1" applyAlignment="1">
      <alignment horizontal="left" vertical="center" indent="1"/>
    </xf>
    <xf numFmtId="0" fontId="0" fillId="18" borderId="8" xfId="0" applyFill="1" applyBorder="1" applyAlignment="1">
      <alignment horizontal="left" vertical="center" indent="1"/>
    </xf>
    <xf numFmtId="0" fontId="0" fillId="0" borderId="0" xfId="0" applyBorder="1" applyAlignment="1">
      <alignment vertical="center"/>
    </xf>
    <xf numFmtId="0" fontId="0" fillId="27" borderId="24" xfId="0" applyFill="1" applyBorder="1" applyAlignment="1">
      <alignment horizontal="left" vertical="center" indent="1"/>
    </xf>
    <xf numFmtId="0" fontId="0" fillId="27" borderId="24" xfId="0" applyFill="1" applyBorder="1" applyAlignment="1">
      <alignment horizontal="center" vertical="center"/>
    </xf>
    <xf numFmtId="0" fontId="0" fillId="18" borderId="25" xfId="0" applyFill="1" applyBorder="1" applyAlignment="1">
      <alignment horizontal="left" vertical="center" indent="1"/>
    </xf>
    <xf numFmtId="0" fontId="0" fillId="18" borderId="25" xfId="0" applyFill="1" applyBorder="1" applyAlignment="1">
      <alignment horizontal="center" vertical="center"/>
    </xf>
    <xf numFmtId="0" fontId="0" fillId="18" borderId="8" xfId="0" applyFill="1" applyBorder="1" applyAlignment="1">
      <alignment horizontal="center" vertical="center"/>
    </xf>
    <xf numFmtId="0" fontId="0" fillId="18" borderId="9" xfId="0" applyFill="1" applyBorder="1" applyAlignment="1">
      <alignment horizontal="center" vertical="center"/>
    </xf>
    <xf numFmtId="0" fontId="2" fillId="0" borderId="0" xfId="0" applyFont="1" applyAlignment="1">
      <alignment horizontal="left" indent="1"/>
    </xf>
    <xf numFmtId="0" fontId="11" fillId="0" borderId="0" xfId="0" applyFont="1" applyAlignment="1">
      <alignment horizontal="center" vertical="center" textRotation="180"/>
    </xf>
    <xf numFmtId="0" fontId="13" fillId="0" borderId="16" xfId="0" applyFont="1" applyBorder="1" applyAlignment="1">
      <alignment horizontal="center"/>
    </xf>
    <xf numFmtId="0" fontId="13" fillId="0" borderId="17" xfId="0" applyFont="1" applyBorder="1" applyAlignment="1">
      <alignment horizontal="center"/>
    </xf>
    <xf numFmtId="0" fontId="13" fillId="0" borderId="18" xfId="0" applyFont="1" applyBorder="1" applyAlignment="1">
      <alignment horizontal="center"/>
    </xf>
    <xf numFmtId="0" fontId="2" fillId="13" borderId="0" xfId="0" applyFont="1" applyFill="1" applyBorder="1" applyAlignment="1">
      <alignment horizontal="left" vertical="center" indent="1"/>
    </xf>
    <xf numFmtId="0" fontId="1" fillId="22" borderId="0" xfId="0" applyFont="1" applyFill="1" applyBorder="1" applyAlignment="1">
      <alignment horizontal="center" vertical="center"/>
    </xf>
    <xf numFmtId="0" fontId="1" fillId="20" borderId="0" xfId="0" applyFont="1" applyFill="1" applyBorder="1" applyAlignment="1">
      <alignment horizontal="center" vertical="center"/>
    </xf>
    <xf numFmtId="0" fontId="1" fillId="15" borderId="0" xfId="0" applyFont="1" applyFill="1" applyBorder="1" applyAlignment="1">
      <alignment horizontal="center" vertical="center"/>
    </xf>
    <xf numFmtId="0" fontId="2" fillId="21" borderId="0" xfId="0" applyFont="1" applyFill="1" applyBorder="1" applyAlignment="1">
      <alignment horizontal="center" vertical="center"/>
    </xf>
    <xf numFmtId="0" fontId="2" fillId="19" borderId="0" xfId="0" applyFont="1" applyFill="1" applyBorder="1" applyAlignment="1">
      <alignment horizontal="center" vertical="center"/>
    </xf>
    <xf numFmtId="0" fontId="2" fillId="17" borderId="0" xfId="0" applyFont="1" applyFill="1" applyBorder="1" applyAlignment="1">
      <alignment horizontal="center" vertical="center"/>
    </xf>
    <xf numFmtId="0" fontId="2" fillId="13" borderId="0" xfId="0" applyFont="1" applyFill="1" applyBorder="1" applyAlignment="1">
      <alignment horizontal="center" vertical="center"/>
    </xf>
    <xf numFmtId="0" fontId="1" fillId="14" borderId="0" xfId="0" applyFont="1" applyFill="1" applyBorder="1" applyAlignment="1">
      <alignment horizontal="center" vertical="center"/>
    </xf>
    <xf numFmtId="0" fontId="9" fillId="0" borderId="0" xfId="0" applyFont="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16" borderId="4" xfId="0" applyFill="1" applyBorder="1" applyAlignment="1">
      <alignment horizontal="center" vertical="center"/>
    </xf>
    <xf numFmtId="0" fontId="0" fillId="16" borderId="5" xfId="0" applyFill="1" applyBorder="1" applyAlignment="1">
      <alignment horizontal="center" vertical="center"/>
    </xf>
    <xf numFmtId="0" fontId="9" fillId="0" borderId="0" xfId="0" applyFont="1" applyBorder="1" applyAlignment="1">
      <alignment horizontal="center" vertical="center" textRotation="90"/>
    </xf>
    <xf numFmtId="0" fontId="9" fillId="0" borderId="0" xfId="0" applyFont="1" applyBorder="1" applyAlignment="1">
      <alignment horizontal="center" vertical="center" textRotation="90" wrapText="1"/>
    </xf>
    <xf numFmtId="0" fontId="1" fillId="22" borderId="0" xfId="0" applyFont="1" applyFill="1" applyBorder="1" applyAlignment="1">
      <alignment horizontal="left" vertical="center" indent="1"/>
    </xf>
    <xf numFmtId="0" fontId="1" fillId="20" borderId="0" xfId="0" applyFont="1" applyFill="1" applyBorder="1" applyAlignment="1">
      <alignment horizontal="left" vertical="center" indent="1"/>
    </xf>
    <xf numFmtId="0" fontId="1" fillId="15" borderId="0" xfId="0" applyFont="1" applyFill="1" applyBorder="1" applyAlignment="1">
      <alignment horizontal="left" vertical="center" indent="1"/>
    </xf>
    <xf numFmtId="0" fontId="2" fillId="21" borderId="0" xfId="0" applyFont="1" applyFill="1" applyBorder="1" applyAlignment="1">
      <alignment horizontal="left" vertical="center" indent="1"/>
    </xf>
    <xf numFmtId="0" fontId="2" fillId="19" borderId="0" xfId="0" applyFont="1" applyFill="1" applyBorder="1" applyAlignment="1">
      <alignment horizontal="left" vertical="center" indent="1"/>
    </xf>
    <xf numFmtId="0" fontId="2" fillId="17" borderId="0" xfId="0" applyFont="1" applyFill="1" applyBorder="1" applyAlignment="1">
      <alignment horizontal="left" vertical="center" indent="1"/>
    </xf>
    <xf numFmtId="0" fontId="0" fillId="0" borderId="11" xfId="0" applyBorder="1" applyAlignment="1">
      <alignment horizontal="center" vertical="center"/>
    </xf>
    <xf numFmtId="0" fontId="0" fillId="16" borderId="10" xfId="0" applyFill="1" applyBorder="1" applyAlignment="1">
      <alignment horizontal="center" vertical="center"/>
    </xf>
    <xf numFmtId="0" fontId="1" fillId="19" borderId="4" xfId="0" applyFont="1" applyFill="1" applyBorder="1" applyAlignment="1">
      <alignment horizontal="center" vertical="center"/>
    </xf>
    <xf numFmtId="0" fontId="1" fillId="19" borderId="5" xfId="0" applyFont="1" applyFill="1" applyBorder="1" applyAlignment="1">
      <alignment horizontal="center" vertical="center"/>
    </xf>
    <xf numFmtId="0" fontId="4" fillId="14" borderId="12" xfId="0" applyFont="1" applyFill="1" applyBorder="1" applyAlignment="1">
      <alignment horizontal="center" vertical="center"/>
    </xf>
    <xf numFmtId="0" fontId="4" fillId="14" borderId="13" xfId="0" applyFont="1" applyFill="1" applyBorder="1" applyAlignment="1">
      <alignment horizontal="center" vertical="center"/>
    </xf>
    <xf numFmtId="0" fontId="4" fillId="14" borderId="14" xfId="0" applyFont="1" applyFill="1" applyBorder="1" applyAlignment="1">
      <alignment horizontal="center" vertical="center"/>
    </xf>
    <xf numFmtId="0" fontId="12" fillId="0" borderId="0" xfId="0" applyFont="1" applyBorder="1" applyAlignment="1">
      <alignment horizontal="center" vertical="center"/>
    </xf>
    <xf numFmtId="0" fontId="2" fillId="17" borderId="6" xfId="0" applyFont="1" applyFill="1" applyBorder="1" applyAlignment="1">
      <alignment horizontal="center" vertical="center"/>
    </xf>
    <xf numFmtId="0" fontId="2" fillId="17" borderId="7" xfId="0" applyFont="1" applyFill="1" applyBorder="1" applyAlignment="1">
      <alignment horizontal="center" vertical="center"/>
    </xf>
    <xf numFmtId="0" fontId="9" fillId="0" borderId="0" xfId="0" applyFont="1" applyAlignment="1">
      <alignment horizontal="center" vertical="center"/>
    </xf>
    <xf numFmtId="0" fontId="14" fillId="0" borderId="0" xfId="0" applyFont="1" applyAlignment="1">
      <alignment horizontal="center" vertical="center"/>
    </xf>
    <xf numFmtId="0" fontId="9" fillId="0" borderId="0" xfId="0" applyFont="1" applyAlignment="1">
      <alignment horizontal="center" vertical="top"/>
    </xf>
    <xf numFmtId="0" fontId="2" fillId="33" borderId="0" xfId="0" applyFont="1" applyFill="1" applyBorder="1" applyAlignment="1">
      <alignment horizontal="center" vertical="center"/>
    </xf>
    <xf numFmtId="0" fontId="2" fillId="33" borderId="0" xfId="0" applyFont="1" applyFill="1" applyBorder="1" applyAlignment="1">
      <alignment horizontal="left" vertical="center" wrapText="1" indent="1"/>
    </xf>
    <xf numFmtId="0" fontId="2" fillId="33" borderId="0" xfId="0" applyFont="1" applyFill="1" applyBorder="1" applyAlignment="1">
      <alignment horizontal="left" vertical="center" indent="1"/>
    </xf>
    <xf numFmtId="0" fontId="0" fillId="0" borderId="35" xfId="0" applyBorder="1" applyAlignment="1">
      <alignment horizontal="center" vertical="center"/>
    </xf>
    <xf numFmtId="0" fontId="0" fillId="0" borderId="33" xfId="0" applyBorder="1" applyAlignment="1">
      <alignment horizontal="center" vertical="center"/>
    </xf>
    <xf numFmtId="0" fontId="0" fillId="0" borderId="23" xfId="0" applyBorder="1" applyAlignment="1">
      <alignment horizontal="center" vertical="center"/>
    </xf>
    <xf numFmtId="0" fontId="0" fillId="33" borderId="28" xfId="0" applyFill="1" applyBorder="1" applyAlignment="1">
      <alignment horizontal="center" vertical="center"/>
    </xf>
    <xf numFmtId="0" fontId="0" fillId="33" borderId="22" xfId="0" applyFill="1" applyBorder="1" applyAlignment="1">
      <alignment horizontal="center" vertical="center"/>
    </xf>
    <xf numFmtId="0" fontId="0" fillId="0" borderId="37" xfId="0" applyBorder="1" applyAlignment="1">
      <alignment horizontal="center" vertical="center" wrapText="1"/>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0" borderId="21"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33" borderId="41" xfId="0" applyFill="1" applyBorder="1" applyAlignment="1">
      <alignment horizontal="center" vertical="center"/>
    </xf>
    <xf numFmtId="0" fontId="0" fillId="33" borderId="42" xfId="0" applyFill="1" applyBorder="1" applyAlignment="1">
      <alignment horizontal="center" vertical="center"/>
    </xf>
    <xf numFmtId="0" fontId="18" fillId="0" borderId="0" xfId="0" applyFont="1" applyAlignment="1">
      <alignment horizontal="center" vertical="center"/>
    </xf>
    <xf numFmtId="0" fontId="0" fillId="18" borderId="34" xfId="0" applyFill="1" applyBorder="1" applyAlignment="1">
      <alignment horizontal="center" vertical="center" wrapText="1"/>
    </xf>
    <xf numFmtId="0" fontId="0" fillId="18" borderId="32" xfId="0" applyFill="1" applyBorder="1" applyAlignment="1">
      <alignment horizontal="center" vertical="center"/>
    </xf>
    <xf numFmtId="0" fontId="0" fillId="33" borderId="4" xfId="0" applyFill="1" applyBorder="1" applyAlignment="1">
      <alignment horizontal="left" vertical="center" indent="1"/>
    </xf>
    <xf numFmtId="0" fontId="0" fillId="33" borderId="5" xfId="0" applyFill="1" applyBorder="1" applyAlignment="1">
      <alignment horizontal="left" vertical="center" indent="1"/>
    </xf>
    <xf numFmtId="0" fontId="0" fillId="33" borderId="4" xfId="0" applyFill="1" applyBorder="1" applyAlignment="1">
      <alignment horizontal="center" vertical="center"/>
    </xf>
    <xf numFmtId="0" fontId="0" fillId="33" borderId="5" xfId="0" applyFill="1" applyBorder="1" applyAlignment="1">
      <alignment horizontal="center" vertical="center"/>
    </xf>
    <xf numFmtId="0" fontId="0" fillId="0" borderId="29" xfId="0" applyBorder="1" applyAlignment="1">
      <alignment horizontal="left" vertical="center" indent="1"/>
    </xf>
    <xf numFmtId="0" fontId="0" fillId="0" borderId="23" xfId="0" applyBorder="1" applyAlignment="1">
      <alignment horizontal="left" vertical="center" indent="1"/>
    </xf>
    <xf numFmtId="0" fontId="16" fillId="0" borderId="0" xfId="0" applyFont="1" applyBorder="1" applyAlignment="1">
      <alignment horizontal="left" vertical="center" textRotation="90"/>
    </xf>
    <xf numFmtId="0" fontId="2" fillId="25" borderId="0" xfId="0" applyFont="1" applyFill="1" applyBorder="1" applyAlignment="1">
      <alignment horizontal="center" vertical="center"/>
    </xf>
    <xf numFmtId="0" fontId="2" fillId="25" borderId="0" xfId="0" applyFont="1" applyFill="1" applyBorder="1" applyAlignment="1">
      <alignment horizontal="left" vertical="center" wrapText="1" indent="1"/>
    </xf>
    <xf numFmtId="0" fontId="2" fillId="25" borderId="0" xfId="0" applyFont="1" applyFill="1" applyBorder="1" applyAlignment="1">
      <alignment horizontal="left" vertical="center" indent="1"/>
    </xf>
    <xf numFmtId="0" fontId="16" fillId="0" borderId="0" xfId="0" applyFont="1" applyBorder="1" applyAlignment="1">
      <alignment horizontal="left" vertical="center" textRotation="90" wrapText="1"/>
    </xf>
    <xf numFmtId="0" fontId="0" fillId="27" borderId="28" xfId="0" applyFill="1" applyBorder="1" applyAlignment="1">
      <alignment horizontal="center" vertical="center"/>
    </xf>
    <xf numFmtId="0" fontId="0" fillId="27" borderId="22" xfId="0" applyFill="1" applyBorder="1" applyAlignment="1">
      <alignment horizontal="center" vertical="center"/>
    </xf>
    <xf numFmtId="0" fontId="1" fillId="28" borderId="0" xfId="0" applyFont="1" applyFill="1" applyBorder="1" applyAlignment="1">
      <alignment horizontal="center" vertical="center"/>
    </xf>
    <xf numFmtId="0" fontId="1" fillId="28" borderId="0" xfId="0" applyFont="1" applyFill="1" applyBorder="1" applyAlignment="1">
      <alignment horizontal="left" vertical="center" wrapText="1" indent="1"/>
    </xf>
    <xf numFmtId="0" fontId="1" fillId="28" borderId="0" xfId="0" applyFont="1" applyFill="1" applyBorder="1" applyAlignment="1">
      <alignment horizontal="left" vertical="center" indent="1"/>
    </xf>
    <xf numFmtId="0" fontId="9" fillId="0" borderId="26" xfId="0" applyFont="1" applyBorder="1" applyAlignment="1">
      <alignment horizontal="center"/>
    </xf>
    <xf numFmtId="0" fontId="9" fillId="0" borderId="27" xfId="0" applyFont="1" applyBorder="1" applyAlignment="1">
      <alignment horizontal="center"/>
    </xf>
    <xf numFmtId="0" fontId="0" fillId="0" borderId="29" xfId="0" applyBorder="1" applyAlignment="1">
      <alignment horizontal="center" vertical="center"/>
    </xf>
    <xf numFmtId="0" fontId="0" fillId="27" borderId="4" xfId="0" applyFill="1" applyBorder="1" applyAlignment="1">
      <alignment horizontal="center" vertical="center"/>
    </xf>
    <xf numFmtId="0" fontId="0" fillId="27" borderId="5" xfId="0" applyFill="1" applyBorder="1" applyAlignment="1">
      <alignment horizontal="center" vertical="center"/>
    </xf>
    <xf numFmtId="0" fontId="9" fillId="0" borderId="26" xfId="0" applyFont="1" applyBorder="1" applyAlignment="1">
      <alignment horizontal="center" vertical="center"/>
    </xf>
    <xf numFmtId="0" fontId="1" fillId="3" borderId="0" xfId="0" applyFont="1" applyFill="1" applyBorder="1" applyAlignment="1">
      <alignment horizontal="center" vertical="center"/>
    </xf>
    <xf numFmtId="0" fontId="1" fillId="3" borderId="0" xfId="0" applyFont="1" applyFill="1" applyBorder="1" applyAlignment="1">
      <alignment horizontal="left" vertical="center" wrapText="1" indent="1"/>
    </xf>
    <xf numFmtId="0" fontId="1" fillId="3" borderId="0" xfId="0" applyFont="1" applyFill="1" applyBorder="1" applyAlignment="1">
      <alignment horizontal="left" vertical="center" indent="1"/>
    </xf>
    <xf numFmtId="0" fontId="0" fillId="18" borderId="29" xfId="0" applyFill="1" applyBorder="1" applyAlignment="1">
      <alignment horizontal="center" vertical="center"/>
    </xf>
    <xf numFmtId="0" fontId="0" fillId="18" borderId="23" xfId="0" applyFill="1" applyBorder="1" applyAlignment="1">
      <alignment horizontal="center" vertical="center"/>
    </xf>
    <xf numFmtId="0" fontId="1" fillId="24" borderId="0" xfId="0" applyFont="1" applyFill="1" applyBorder="1" applyAlignment="1">
      <alignment horizontal="center" vertical="center"/>
    </xf>
    <xf numFmtId="0" fontId="1" fillId="24" borderId="0" xfId="0" applyFont="1" applyFill="1" applyBorder="1" applyAlignment="1">
      <alignment horizontal="left" vertical="center" wrapText="1" indent="1"/>
    </xf>
    <xf numFmtId="0" fontId="1" fillId="24" borderId="0" xfId="0" applyFont="1" applyFill="1" applyBorder="1" applyAlignment="1">
      <alignment horizontal="left" vertical="center" indent="1"/>
    </xf>
    <xf numFmtId="0" fontId="2" fillId="34" borderId="0" xfId="0" applyFont="1" applyFill="1" applyBorder="1" applyAlignment="1">
      <alignment horizontal="center" vertical="center"/>
    </xf>
    <xf numFmtId="0" fontId="2" fillId="34" borderId="0" xfId="0" applyFont="1" applyFill="1" applyBorder="1" applyAlignment="1">
      <alignment horizontal="left" vertical="center" indent="1"/>
    </xf>
    <xf numFmtId="0" fontId="0" fillId="4" borderId="4" xfId="0" applyFill="1" applyBorder="1" applyAlignment="1">
      <alignment horizontal="center" vertical="center"/>
    </xf>
    <xf numFmtId="0" fontId="0" fillId="4" borderId="5" xfId="0" applyFill="1" applyBorder="1" applyAlignment="1">
      <alignment horizontal="center" vertical="center"/>
    </xf>
    <xf numFmtId="0" fontId="0" fillId="4" borderId="28" xfId="0" applyFill="1" applyBorder="1" applyAlignment="1">
      <alignment horizontal="center" vertical="center"/>
    </xf>
    <xf numFmtId="0" fontId="0" fillId="4" borderId="36" xfId="0" applyFill="1" applyBorder="1" applyAlignment="1">
      <alignment horizontal="center" vertical="center"/>
    </xf>
    <xf numFmtId="0" fontId="0" fillId="4" borderId="22" xfId="0" applyFill="1" applyBorder="1" applyAlignment="1">
      <alignment horizontal="center" vertical="center"/>
    </xf>
    <xf numFmtId="0" fontId="2" fillId="6" borderId="0" xfId="0" applyFont="1" applyFill="1" applyBorder="1" applyAlignment="1">
      <alignment horizontal="center" vertical="center"/>
    </xf>
    <xf numFmtId="0" fontId="2" fillId="6" borderId="0" xfId="0" applyFont="1" applyFill="1" applyBorder="1" applyAlignment="1">
      <alignment horizontal="left" vertical="center" indent="1"/>
    </xf>
    <xf numFmtId="0" fontId="0" fillId="30" borderId="4" xfId="0" applyFill="1" applyBorder="1" applyAlignment="1">
      <alignment horizontal="center" vertical="center"/>
    </xf>
    <xf numFmtId="0" fontId="0" fillId="30" borderId="5" xfId="0" applyFill="1" applyBorder="1" applyAlignment="1">
      <alignment horizontal="center" vertical="center"/>
    </xf>
    <xf numFmtId="0" fontId="2" fillId="35" borderId="0" xfId="0" applyFont="1" applyFill="1" applyBorder="1" applyAlignment="1">
      <alignment horizontal="center" vertical="center"/>
    </xf>
    <xf numFmtId="0" fontId="2" fillId="35" borderId="0" xfId="0" applyFont="1" applyFill="1" applyBorder="1" applyAlignment="1">
      <alignment horizontal="left" vertical="center" wrapText="1" indent="1"/>
    </xf>
    <xf numFmtId="0" fontId="2" fillId="35" borderId="0" xfId="0" applyFont="1" applyFill="1" applyBorder="1" applyAlignment="1">
      <alignment horizontal="left" vertical="center" indent="1"/>
    </xf>
    <xf numFmtId="0" fontId="2" fillId="29" borderId="0" xfId="0" applyFont="1" applyFill="1" applyBorder="1" applyAlignment="1">
      <alignment horizontal="center" vertical="center"/>
    </xf>
    <xf numFmtId="0" fontId="2" fillId="29" borderId="0" xfId="0" applyFont="1" applyFill="1" applyBorder="1" applyAlignment="1">
      <alignment horizontal="left" vertical="center" indent="1"/>
    </xf>
    <xf numFmtId="0" fontId="1" fillId="26" borderId="0" xfId="0" applyFont="1" applyFill="1" applyBorder="1" applyAlignment="1">
      <alignment horizontal="center" vertical="center"/>
    </xf>
    <xf numFmtId="0" fontId="1" fillId="26" borderId="0" xfId="0" applyFont="1" applyFill="1" applyBorder="1" applyAlignment="1">
      <alignment horizontal="left" vertical="center" wrapText="1" indent="1"/>
    </xf>
    <xf numFmtId="0" fontId="1" fillId="26" borderId="0" xfId="0" applyFont="1" applyFill="1" applyBorder="1" applyAlignment="1">
      <alignment horizontal="left" vertical="center" indent="1"/>
    </xf>
    <xf numFmtId="0" fontId="1" fillId="31" borderId="0" xfId="0" applyFont="1" applyFill="1" applyBorder="1" applyAlignment="1">
      <alignment horizontal="center" vertical="center"/>
    </xf>
    <xf numFmtId="0" fontId="1" fillId="31" borderId="0" xfId="0" applyFont="1" applyFill="1" applyBorder="1" applyAlignment="1">
      <alignment horizontal="left" vertical="center" wrapText="1" indent="1"/>
    </xf>
    <xf numFmtId="0" fontId="1" fillId="31" borderId="0" xfId="0" applyFont="1" applyFill="1" applyBorder="1" applyAlignment="1">
      <alignment horizontal="left" vertical="center" indent="1"/>
    </xf>
    <xf numFmtId="0" fontId="1" fillId="20" borderId="6" xfId="0" applyFont="1" applyFill="1" applyBorder="1" applyAlignment="1">
      <alignment horizontal="center" vertical="center"/>
    </xf>
    <xf numFmtId="0" fontId="1" fillId="20" borderId="7" xfId="0" applyFont="1" applyFill="1" applyBorder="1" applyAlignment="1">
      <alignment horizontal="center" vertical="center"/>
    </xf>
    <xf numFmtId="0" fontId="1" fillId="32" borderId="0" xfId="0" applyFont="1" applyFill="1" applyBorder="1" applyAlignment="1">
      <alignment horizontal="center" vertical="center"/>
    </xf>
    <xf numFmtId="0" fontId="1" fillId="32" borderId="0" xfId="0" applyFont="1" applyFill="1" applyBorder="1" applyAlignment="1">
      <alignment horizontal="left" vertical="center" indent="1"/>
    </xf>
    <xf numFmtId="0" fontId="17" fillId="14" borderId="0" xfId="0" applyFont="1" applyFill="1" applyBorder="1" applyAlignment="1">
      <alignment horizontal="center" vertical="center"/>
    </xf>
    <xf numFmtId="0" fontId="1" fillId="14" borderId="4" xfId="0" applyFont="1" applyFill="1" applyBorder="1" applyAlignment="1">
      <alignment horizontal="center" vertical="center"/>
    </xf>
    <xf numFmtId="0" fontId="1" fillId="14" borderId="5" xfId="0" applyFont="1" applyFill="1" applyBorder="1" applyAlignment="1">
      <alignment horizontal="center" vertical="center"/>
    </xf>
    <xf numFmtId="0" fontId="4" fillId="3" borderId="0" xfId="0" applyFont="1" applyFill="1" applyAlignment="1">
      <alignment horizontal="center" vertical="center"/>
    </xf>
    <xf numFmtId="0" fontId="2" fillId="2" borderId="0" xfId="0" applyFont="1" applyFill="1" applyAlignment="1">
      <alignment horizontal="center"/>
    </xf>
    <xf numFmtId="0" fontId="0" fillId="23" borderId="0" xfId="0" applyFont="1" applyFill="1" applyAlignment="1">
      <alignment horizontal="left" wrapText="1"/>
    </xf>
    <xf numFmtId="0" fontId="6" fillId="9" borderId="0" xfId="0" applyFont="1" applyFill="1" applyAlignment="1">
      <alignment horizontal="left" vertical="top" wrapText="1"/>
    </xf>
    <xf numFmtId="0" fontId="6" fillId="8" borderId="0" xfId="0" applyFont="1" applyFill="1" applyAlignment="1">
      <alignment horizontal="left" vertical="top" wrapText="1"/>
    </xf>
    <xf numFmtId="0" fontId="1" fillId="7" borderId="0" xfId="0" applyFont="1" applyFill="1" applyAlignment="1">
      <alignment horizontal="left" indent="1"/>
    </xf>
    <xf numFmtId="0" fontId="2" fillId="6" borderId="0" xfId="0" applyFont="1" applyFill="1" applyAlignment="1">
      <alignment horizontal="left" indent="1"/>
    </xf>
    <xf numFmtId="0" fontId="6" fillId="5" borderId="0" xfId="0" applyFont="1" applyFill="1" applyAlignment="1">
      <alignment horizontal="left" vertical="top" wrapText="1"/>
    </xf>
    <xf numFmtId="0" fontId="6" fillId="4" borderId="0" xfId="0" applyFont="1" applyFill="1" applyAlignment="1">
      <alignment horizontal="left" vertical="top" wrapText="1"/>
    </xf>
    <xf numFmtId="0" fontId="7" fillId="3" borderId="2" xfId="0" applyFont="1" applyFill="1" applyBorder="1" applyAlignment="1">
      <alignment horizontal="left" vertical="center" wrapText="1" indent="5"/>
    </xf>
    <xf numFmtId="0" fontId="0" fillId="12" borderId="0" xfId="0" applyFont="1" applyFill="1" applyBorder="1" applyAlignment="1">
      <alignment horizontal="left" wrapText="1" indent="5"/>
    </xf>
    <xf numFmtId="0" fontId="4" fillId="3" borderId="0" xfId="0" applyFont="1" applyFill="1" applyAlignment="1">
      <alignment horizontal="center" vertical="center" wrapText="1"/>
    </xf>
    <xf numFmtId="0" fontId="1" fillId="11" borderId="0" xfId="0" applyFont="1" applyFill="1" applyAlignment="1">
      <alignment horizontal="left" indent="1"/>
    </xf>
    <xf numFmtId="0" fontId="1" fillId="10" borderId="0" xfId="0" applyFont="1" applyFill="1" applyAlignment="1">
      <alignment horizontal="left" indent="1"/>
    </xf>
    <xf numFmtId="0" fontId="8" fillId="3" borderId="0" xfId="0" applyFont="1" applyFill="1" applyBorder="1" applyAlignment="1">
      <alignment horizontal="center" vertical="center" wrapText="1"/>
    </xf>
    <xf numFmtId="0" fontId="7" fillId="3" borderId="19" xfId="0" applyFont="1" applyFill="1" applyBorder="1" applyAlignment="1">
      <alignment horizontal="left" vertical="center" wrapText="1" indent="5"/>
    </xf>
    <xf numFmtId="0" fontId="7" fillId="3" borderId="3" xfId="0" applyFont="1" applyFill="1" applyBorder="1" applyAlignment="1">
      <alignment horizontal="left" vertical="center" wrapText="1" indent="5"/>
    </xf>
    <xf numFmtId="0" fontId="0" fillId="13" borderId="0" xfId="0" applyFont="1" applyFill="1" applyBorder="1" applyAlignment="1">
      <alignment horizontal="left" wrapText="1" indent="5"/>
    </xf>
    <xf numFmtId="0" fontId="0" fillId="23" borderId="0" xfId="0" applyFont="1" applyFill="1" applyAlignment="1">
      <alignment horizontal="left" vertical="top" wrapText="1"/>
    </xf>
    <xf numFmtId="0" fontId="4" fillId="14" borderId="0" xfId="0" applyFont="1" applyFill="1" applyAlignment="1">
      <alignment horizontal="center"/>
    </xf>
    <xf numFmtId="0" fontId="1" fillId="14" borderId="0" xfId="0" applyFont="1" applyFill="1" applyBorder="1" applyAlignment="1">
      <alignment horizontal="left" vertical="center" wrapText="1" indent="1"/>
    </xf>
    <xf numFmtId="0" fontId="1" fillId="14" borderId="0" xfId="0" applyFont="1" applyFill="1" applyBorder="1" applyAlignment="1">
      <alignment horizontal="left" vertical="center" indent="1"/>
    </xf>
    <xf numFmtId="0" fontId="0" fillId="19" borderId="4" xfId="0" applyFill="1" applyBorder="1" applyAlignment="1">
      <alignment horizontal="left" vertical="center" indent="1"/>
    </xf>
    <xf numFmtId="0" fontId="0" fillId="19" borderId="5" xfId="0" applyFill="1" applyBorder="1" applyAlignment="1">
      <alignment horizontal="left" vertical="center" indent="1"/>
    </xf>
    <xf numFmtId="0" fontId="0" fillId="19" borderId="4" xfId="0" applyFill="1" applyBorder="1" applyAlignment="1">
      <alignment horizontal="center" vertical="center"/>
    </xf>
    <xf numFmtId="0" fontId="0" fillId="19" borderId="5" xfId="0" applyFill="1" applyBorder="1" applyAlignment="1">
      <alignment horizontal="center" vertical="center"/>
    </xf>
    <xf numFmtId="0" fontId="0" fillId="19" borderId="28" xfId="0" applyFill="1" applyBorder="1" applyAlignment="1">
      <alignment horizontal="center" vertical="center"/>
    </xf>
    <xf numFmtId="0" fontId="0" fillId="19" borderId="22" xfId="0" applyFill="1" applyBorder="1" applyAlignment="1">
      <alignment horizontal="center" vertical="center"/>
    </xf>
    <xf numFmtId="0" fontId="0" fillId="19" borderId="41" xfId="0" applyFill="1" applyBorder="1" applyAlignment="1">
      <alignment horizontal="center" vertical="center"/>
    </xf>
    <xf numFmtId="0" fontId="0" fillId="19" borderId="42" xfId="0" applyFill="1" applyBorder="1" applyAlignment="1">
      <alignment horizontal="center" vertical="center"/>
    </xf>
    <xf numFmtId="0" fontId="9" fillId="0" borderId="29" xfId="0" applyFont="1" applyBorder="1" applyAlignment="1">
      <alignment horizontal="center" vertical="center"/>
    </xf>
    <xf numFmtId="0" fontId="9" fillId="0" borderId="23" xfId="0" applyFont="1" applyBorder="1" applyAlignment="1">
      <alignment horizontal="center" vertical="center"/>
    </xf>
    <xf numFmtId="0" fontId="9" fillId="0" borderId="37" xfId="0" applyFont="1" applyBorder="1" applyAlignment="1">
      <alignment horizontal="center" vertical="center" wrapText="1"/>
    </xf>
    <xf numFmtId="0" fontId="9" fillId="0" borderId="38" xfId="0" applyFont="1" applyBorder="1" applyAlignment="1">
      <alignment horizontal="center" vertical="center"/>
    </xf>
    <xf numFmtId="0" fontId="9" fillId="18" borderId="41" xfId="0" applyFont="1" applyFill="1" applyBorder="1" applyAlignment="1">
      <alignment horizontal="center" vertical="center"/>
    </xf>
    <xf numFmtId="0" fontId="9" fillId="18" borderId="42" xfId="0" applyFont="1" applyFill="1" applyBorder="1" applyAlignment="1">
      <alignment horizontal="center" vertical="center"/>
    </xf>
    <xf numFmtId="0" fontId="16" fillId="0" borderId="0" xfId="0" applyFont="1" applyAlignment="1">
      <alignment horizontal="left" vertical="center" textRotation="90"/>
    </xf>
    <xf numFmtId="0" fontId="0" fillId="0" borderId="0" xfId="0" applyAlignment="1">
      <alignment horizontal="left" indent="1"/>
    </xf>
    <xf numFmtId="0" fontId="0" fillId="0" borderId="43" xfId="0" applyBorder="1"/>
    <xf numFmtId="0" fontId="2" fillId="0" borderId="43" xfId="0" applyFont="1" applyBorder="1" applyAlignment="1">
      <alignment horizontal="left" indent="1"/>
    </xf>
    <xf numFmtId="0" fontId="0" fillId="0" borderId="43" xfId="0" applyBorder="1" applyAlignment="1">
      <alignment horizontal="left" indent="1"/>
    </xf>
    <xf numFmtId="10" fontId="2" fillId="0" borderId="43" xfId="0" applyNumberFormat="1" applyFont="1" applyBorder="1" applyAlignment="1">
      <alignment horizontal="center"/>
    </xf>
    <xf numFmtId="10" fontId="20" fillId="0" borderId="43" xfId="0" applyNumberFormat="1" applyFont="1" applyBorder="1" applyAlignment="1">
      <alignment horizontal="center"/>
    </xf>
    <xf numFmtId="0" fontId="1" fillId="14" borderId="43" xfId="0" applyFont="1" applyFill="1" applyBorder="1" applyAlignment="1">
      <alignment horizontal="left" indent="1"/>
    </xf>
    <xf numFmtId="0" fontId="1" fillId="14" borderId="43" xfId="0" applyFont="1" applyFill="1" applyBorder="1"/>
    <xf numFmtId="0" fontId="21" fillId="14" borderId="43" xfId="0" applyFont="1" applyFill="1" applyBorder="1" applyAlignment="1">
      <alignment horizontal="center"/>
    </xf>
    <xf numFmtId="0" fontId="1" fillId="14" borderId="43" xfId="0" applyFont="1" applyFill="1" applyBorder="1" applyAlignment="1">
      <alignment horizontal="center"/>
    </xf>
    <xf numFmtId="0" fontId="2" fillId="0" borderId="44" xfId="0" applyFont="1" applyBorder="1" applyAlignment="1">
      <alignment horizontal="left" indent="1"/>
    </xf>
    <xf numFmtId="10" fontId="2" fillId="0" borderId="44" xfId="0" applyNumberFormat="1" applyFont="1" applyBorder="1" applyAlignment="1">
      <alignment horizontal="center"/>
    </xf>
    <xf numFmtId="10" fontId="20" fillId="0" borderId="44" xfId="0" applyNumberFormat="1" applyFont="1" applyBorder="1" applyAlignment="1">
      <alignment horizontal="center"/>
    </xf>
    <xf numFmtId="0" fontId="0" fillId="0" borderId="44" xfId="0" applyBorder="1" applyAlignment="1">
      <alignment horizontal="left" indent="1"/>
    </xf>
    <xf numFmtId="0" fontId="2" fillId="0" borderId="45" xfId="0" applyFont="1" applyBorder="1" applyAlignment="1">
      <alignment horizontal="left" indent="1"/>
    </xf>
    <xf numFmtId="10" fontId="2" fillId="0" borderId="45" xfId="0" applyNumberFormat="1" applyFont="1" applyBorder="1" applyAlignment="1">
      <alignment horizontal="center"/>
    </xf>
    <xf numFmtId="10" fontId="20" fillId="0" borderId="45" xfId="0" applyNumberFormat="1" applyFont="1" applyBorder="1" applyAlignment="1">
      <alignment horizontal="center"/>
    </xf>
    <xf numFmtId="0" fontId="0" fillId="0" borderId="45" xfId="0" applyBorder="1" applyAlignment="1">
      <alignment horizontal="left" indent="1"/>
    </xf>
    <xf numFmtId="0" fontId="22" fillId="0" borderId="0" xfId="0" applyFont="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3.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eg"/><Relationship Id="rId5" Type="http://schemas.openxmlformats.org/officeDocument/2006/relationships/image" Target="../media/image5.jpg"/><Relationship Id="rId4" Type="http://schemas.openxmlformats.org/officeDocument/2006/relationships/image" Target="../media/image4.jpg"/></Relationships>
</file>

<file path=xl/drawings/_rels/drawing4.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eg"/><Relationship Id="rId5" Type="http://schemas.openxmlformats.org/officeDocument/2006/relationships/image" Target="../media/image5.jpg"/><Relationship Id="rId4" Type="http://schemas.openxmlformats.org/officeDocument/2006/relationships/image" Target="../media/image4.jpg"/></Relationships>
</file>

<file path=xl/drawings/_rels/drawing5.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eg"/><Relationship Id="rId5" Type="http://schemas.openxmlformats.org/officeDocument/2006/relationships/image" Target="../media/image5.jpg"/><Relationship Id="rId4" Type="http://schemas.openxmlformats.org/officeDocument/2006/relationships/image" Target="../media/image4.jpg"/></Relationships>
</file>

<file path=xl/drawings/_rels/drawing6.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eg"/><Relationship Id="rId5" Type="http://schemas.openxmlformats.org/officeDocument/2006/relationships/image" Target="../media/image5.jpg"/><Relationship Id="rId4" Type="http://schemas.openxmlformats.org/officeDocument/2006/relationships/image" Target="../media/image4.jpg"/></Relationships>
</file>

<file path=xl/drawings/_rels/drawing7.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eg"/><Relationship Id="rId5" Type="http://schemas.openxmlformats.org/officeDocument/2006/relationships/image" Target="../media/image5.jpg"/><Relationship Id="rId4" Type="http://schemas.openxmlformats.org/officeDocument/2006/relationships/image" Target="../media/image4.jpg"/></Relationships>
</file>

<file path=xl/drawings/_rels/drawing8.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eg"/><Relationship Id="rId5" Type="http://schemas.openxmlformats.org/officeDocument/2006/relationships/image" Target="../media/image5.jpg"/><Relationship Id="rId4" Type="http://schemas.openxmlformats.org/officeDocument/2006/relationships/image" Target="../media/image4.jpg"/></Relationships>
</file>

<file path=xl/drawings/_rels/drawing9.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eg"/><Relationship Id="rId5" Type="http://schemas.openxmlformats.org/officeDocument/2006/relationships/image" Target="../media/image5.jpg"/><Relationship Id="rId4" Type="http://schemas.openxmlformats.org/officeDocument/2006/relationships/image" Target="../media/image4.jpg"/></Relationships>
</file>

<file path=xl/drawings/_rels/drawing10.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eg"/><Relationship Id="rId5" Type="http://schemas.openxmlformats.org/officeDocument/2006/relationships/image" Target="../media/image5.jp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7</xdr:col>
      <xdr:colOff>323850</xdr:colOff>
      <xdr:row>11</xdr:row>
      <xdr:rowOff>114300</xdr:rowOff>
    </xdr:from>
    <xdr:to>
      <xdr:col>10</xdr:col>
      <xdr:colOff>19050</xdr:colOff>
      <xdr:row>11</xdr:row>
      <xdr:rowOff>114301</xdr:rowOff>
    </xdr:to>
    <xdr:cxnSp macro="">
      <xdr:nvCxnSpPr>
        <xdr:cNvPr id="3" name="Connecteur droit avec flèche 2"/>
        <xdr:cNvCxnSpPr/>
      </xdr:nvCxnSpPr>
      <xdr:spPr>
        <a:xfrm flipV="1">
          <a:off x="4476750" y="155257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323850</xdr:colOff>
      <xdr:row>14</xdr:row>
      <xdr:rowOff>114300</xdr:rowOff>
    </xdr:from>
    <xdr:to>
      <xdr:col>10</xdr:col>
      <xdr:colOff>19050</xdr:colOff>
      <xdr:row>14</xdr:row>
      <xdr:rowOff>114301</xdr:rowOff>
    </xdr:to>
    <xdr:cxnSp macro="">
      <xdr:nvCxnSpPr>
        <xdr:cNvPr id="6" name="Connecteur droit avec flèche 5"/>
        <xdr:cNvCxnSpPr/>
      </xdr:nvCxnSpPr>
      <xdr:spPr>
        <a:xfrm flipV="1">
          <a:off x="4476750" y="212407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0</xdr:colOff>
      <xdr:row>17</xdr:row>
      <xdr:rowOff>123825</xdr:rowOff>
    </xdr:from>
    <xdr:to>
      <xdr:col>10</xdr:col>
      <xdr:colOff>47625</xdr:colOff>
      <xdr:row>17</xdr:row>
      <xdr:rowOff>123826</xdr:rowOff>
    </xdr:to>
    <xdr:cxnSp macro="">
      <xdr:nvCxnSpPr>
        <xdr:cNvPr id="7" name="Connecteur droit avec flèche 6"/>
        <xdr:cNvCxnSpPr/>
      </xdr:nvCxnSpPr>
      <xdr:spPr>
        <a:xfrm flipV="1">
          <a:off x="4505325" y="270510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0</xdr:colOff>
      <xdr:row>20</xdr:row>
      <xdr:rowOff>114300</xdr:rowOff>
    </xdr:from>
    <xdr:to>
      <xdr:col>10</xdr:col>
      <xdr:colOff>47625</xdr:colOff>
      <xdr:row>20</xdr:row>
      <xdr:rowOff>114301</xdr:rowOff>
    </xdr:to>
    <xdr:cxnSp macro="">
      <xdr:nvCxnSpPr>
        <xdr:cNvPr id="8" name="Connecteur droit avec flèche 7"/>
        <xdr:cNvCxnSpPr/>
      </xdr:nvCxnSpPr>
      <xdr:spPr>
        <a:xfrm flipV="1">
          <a:off x="4505325" y="326707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11</xdr:row>
      <xdr:rowOff>114300</xdr:rowOff>
    </xdr:from>
    <xdr:to>
      <xdr:col>16</xdr:col>
      <xdr:colOff>47625</xdr:colOff>
      <xdr:row>11</xdr:row>
      <xdr:rowOff>114301</xdr:rowOff>
    </xdr:to>
    <xdr:cxnSp macro="">
      <xdr:nvCxnSpPr>
        <xdr:cNvPr id="9" name="Connecteur droit avec flèche 8"/>
        <xdr:cNvCxnSpPr/>
      </xdr:nvCxnSpPr>
      <xdr:spPr>
        <a:xfrm flipV="1">
          <a:off x="8258175" y="155257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14</xdr:row>
      <xdr:rowOff>104775</xdr:rowOff>
    </xdr:from>
    <xdr:to>
      <xdr:col>16</xdr:col>
      <xdr:colOff>47625</xdr:colOff>
      <xdr:row>14</xdr:row>
      <xdr:rowOff>104776</xdr:rowOff>
    </xdr:to>
    <xdr:cxnSp macro="">
      <xdr:nvCxnSpPr>
        <xdr:cNvPr id="10" name="Connecteur droit avec flèche 9"/>
        <xdr:cNvCxnSpPr/>
      </xdr:nvCxnSpPr>
      <xdr:spPr>
        <a:xfrm flipV="1">
          <a:off x="8258175" y="211455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17</xdr:row>
      <xdr:rowOff>114300</xdr:rowOff>
    </xdr:from>
    <xdr:to>
      <xdr:col>16</xdr:col>
      <xdr:colOff>47625</xdr:colOff>
      <xdr:row>17</xdr:row>
      <xdr:rowOff>114301</xdr:rowOff>
    </xdr:to>
    <xdr:cxnSp macro="">
      <xdr:nvCxnSpPr>
        <xdr:cNvPr id="11" name="Connecteur droit avec flèche 10"/>
        <xdr:cNvCxnSpPr/>
      </xdr:nvCxnSpPr>
      <xdr:spPr>
        <a:xfrm flipV="1">
          <a:off x="8258175" y="269557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20</xdr:row>
      <xdr:rowOff>104775</xdr:rowOff>
    </xdr:from>
    <xdr:to>
      <xdr:col>16</xdr:col>
      <xdr:colOff>47625</xdr:colOff>
      <xdr:row>20</xdr:row>
      <xdr:rowOff>104776</xdr:rowOff>
    </xdr:to>
    <xdr:cxnSp macro="">
      <xdr:nvCxnSpPr>
        <xdr:cNvPr id="12" name="Connecteur droit avec flèche 11"/>
        <xdr:cNvCxnSpPr/>
      </xdr:nvCxnSpPr>
      <xdr:spPr>
        <a:xfrm flipV="1">
          <a:off x="8258175" y="325755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66675</xdr:colOff>
      <xdr:row>24</xdr:row>
      <xdr:rowOff>114300</xdr:rowOff>
    </xdr:from>
    <xdr:to>
      <xdr:col>15</xdr:col>
      <xdr:colOff>733425</xdr:colOff>
      <xdr:row>24</xdr:row>
      <xdr:rowOff>114303</xdr:rowOff>
    </xdr:to>
    <xdr:cxnSp macro="">
      <xdr:nvCxnSpPr>
        <xdr:cNvPr id="13" name="Connecteur droit avec flèche 12"/>
        <xdr:cNvCxnSpPr/>
      </xdr:nvCxnSpPr>
      <xdr:spPr>
        <a:xfrm flipV="1">
          <a:off x="4572000" y="4029075"/>
          <a:ext cx="5181600" cy="3"/>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57150</xdr:colOff>
      <xdr:row>27</xdr:row>
      <xdr:rowOff>123825</xdr:rowOff>
    </xdr:from>
    <xdr:to>
      <xdr:col>15</xdr:col>
      <xdr:colOff>723900</xdr:colOff>
      <xdr:row>27</xdr:row>
      <xdr:rowOff>123828</xdr:rowOff>
    </xdr:to>
    <xdr:cxnSp macro="">
      <xdr:nvCxnSpPr>
        <xdr:cNvPr id="17" name="Connecteur droit avec flèche 16"/>
        <xdr:cNvCxnSpPr/>
      </xdr:nvCxnSpPr>
      <xdr:spPr>
        <a:xfrm flipV="1">
          <a:off x="4562475" y="4610100"/>
          <a:ext cx="5181600" cy="3"/>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0</xdr:colOff>
      <xdr:row>30</xdr:row>
      <xdr:rowOff>123825</xdr:rowOff>
    </xdr:from>
    <xdr:to>
      <xdr:col>10</xdr:col>
      <xdr:colOff>47625</xdr:colOff>
      <xdr:row>30</xdr:row>
      <xdr:rowOff>123826</xdr:rowOff>
    </xdr:to>
    <xdr:cxnSp macro="">
      <xdr:nvCxnSpPr>
        <xdr:cNvPr id="18" name="Connecteur droit avec flèche 17"/>
        <xdr:cNvCxnSpPr/>
      </xdr:nvCxnSpPr>
      <xdr:spPr>
        <a:xfrm flipV="1">
          <a:off x="4505325" y="518160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152400</xdr:colOff>
      <xdr:row>10</xdr:row>
      <xdr:rowOff>0</xdr:rowOff>
    </xdr:from>
    <xdr:to>
      <xdr:col>19</xdr:col>
      <xdr:colOff>152400</xdr:colOff>
      <xdr:row>30</xdr:row>
      <xdr:rowOff>142875</xdr:rowOff>
    </xdr:to>
    <xdr:cxnSp macro="">
      <xdr:nvCxnSpPr>
        <xdr:cNvPr id="19" name="Connecteur droit avec flèche 18"/>
        <xdr:cNvCxnSpPr/>
      </xdr:nvCxnSpPr>
      <xdr:spPr>
        <a:xfrm flipV="1">
          <a:off x="11487150" y="1295400"/>
          <a:ext cx="0" cy="3962400"/>
        </a:xfrm>
        <a:prstGeom prst="straightConnector1">
          <a:avLst/>
        </a:prstGeom>
        <a:ln>
          <a:headEnd type="none"/>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323850</xdr:colOff>
      <xdr:row>22</xdr:row>
      <xdr:rowOff>114300</xdr:rowOff>
    </xdr:from>
    <xdr:to>
      <xdr:col>10</xdr:col>
      <xdr:colOff>19050</xdr:colOff>
      <xdr:row>22</xdr:row>
      <xdr:rowOff>114301</xdr:rowOff>
    </xdr:to>
    <xdr:cxnSp macro="">
      <xdr:nvCxnSpPr>
        <xdr:cNvPr id="2" name="Connecteur droit avec flèche 1"/>
        <xdr:cNvCxnSpPr/>
      </xdr:nvCxnSpPr>
      <xdr:spPr>
        <a:xfrm flipV="1">
          <a:off x="4152900" y="220980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323850</xdr:colOff>
      <xdr:row>25</xdr:row>
      <xdr:rowOff>114300</xdr:rowOff>
    </xdr:from>
    <xdr:to>
      <xdr:col>10</xdr:col>
      <xdr:colOff>19050</xdr:colOff>
      <xdr:row>25</xdr:row>
      <xdr:rowOff>114301</xdr:rowOff>
    </xdr:to>
    <xdr:cxnSp macro="">
      <xdr:nvCxnSpPr>
        <xdr:cNvPr id="3" name="Connecteur droit avec flèche 2"/>
        <xdr:cNvCxnSpPr/>
      </xdr:nvCxnSpPr>
      <xdr:spPr>
        <a:xfrm flipV="1">
          <a:off x="4152900" y="278130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0</xdr:colOff>
      <xdr:row>28</xdr:row>
      <xdr:rowOff>123825</xdr:rowOff>
    </xdr:from>
    <xdr:to>
      <xdr:col>10</xdr:col>
      <xdr:colOff>47625</xdr:colOff>
      <xdr:row>28</xdr:row>
      <xdr:rowOff>123826</xdr:rowOff>
    </xdr:to>
    <xdr:cxnSp macro="">
      <xdr:nvCxnSpPr>
        <xdr:cNvPr id="4" name="Connecteur droit avec flèche 3"/>
        <xdr:cNvCxnSpPr/>
      </xdr:nvCxnSpPr>
      <xdr:spPr>
        <a:xfrm flipV="1">
          <a:off x="4181475" y="336232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0</xdr:colOff>
      <xdr:row>31</xdr:row>
      <xdr:rowOff>114300</xdr:rowOff>
    </xdr:from>
    <xdr:to>
      <xdr:col>10</xdr:col>
      <xdr:colOff>47625</xdr:colOff>
      <xdr:row>31</xdr:row>
      <xdr:rowOff>114301</xdr:rowOff>
    </xdr:to>
    <xdr:cxnSp macro="">
      <xdr:nvCxnSpPr>
        <xdr:cNvPr id="5" name="Connecteur droit avec flèche 4"/>
        <xdr:cNvCxnSpPr/>
      </xdr:nvCxnSpPr>
      <xdr:spPr>
        <a:xfrm flipV="1">
          <a:off x="4181475" y="392430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22</xdr:row>
      <xdr:rowOff>114300</xdr:rowOff>
    </xdr:from>
    <xdr:to>
      <xdr:col>16</xdr:col>
      <xdr:colOff>47625</xdr:colOff>
      <xdr:row>22</xdr:row>
      <xdr:rowOff>114301</xdr:rowOff>
    </xdr:to>
    <xdr:cxnSp macro="">
      <xdr:nvCxnSpPr>
        <xdr:cNvPr id="6" name="Connecteur droit avec flèche 5"/>
        <xdr:cNvCxnSpPr/>
      </xdr:nvCxnSpPr>
      <xdr:spPr>
        <a:xfrm flipV="1">
          <a:off x="7934325" y="220980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25</xdr:row>
      <xdr:rowOff>104775</xdr:rowOff>
    </xdr:from>
    <xdr:to>
      <xdr:col>16</xdr:col>
      <xdr:colOff>47625</xdr:colOff>
      <xdr:row>25</xdr:row>
      <xdr:rowOff>104776</xdr:rowOff>
    </xdr:to>
    <xdr:cxnSp macro="">
      <xdr:nvCxnSpPr>
        <xdr:cNvPr id="7" name="Connecteur droit avec flèche 6"/>
        <xdr:cNvCxnSpPr/>
      </xdr:nvCxnSpPr>
      <xdr:spPr>
        <a:xfrm flipV="1">
          <a:off x="7934325" y="277177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28</xdr:row>
      <xdr:rowOff>114300</xdr:rowOff>
    </xdr:from>
    <xdr:to>
      <xdr:col>16</xdr:col>
      <xdr:colOff>47625</xdr:colOff>
      <xdr:row>28</xdr:row>
      <xdr:rowOff>114301</xdr:rowOff>
    </xdr:to>
    <xdr:cxnSp macro="">
      <xdr:nvCxnSpPr>
        <xdr:cNvPr id="8" name="Connecteur droit avec flèche 7"/>
        <xdr:cNvCxnSpPr/>
      </xdr:nvCxnSpPr>
      <xdr:spPr>
        <a:xfrm flipV="1">
          <a:off x="7934325" y="335280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31</xdr:row>
      <xdr:rowOff>104775</xdr:rowOff>
    </xdr:from>
    <xdr:to>
      <xdr:col>16</xdr:col>
      <xdr:colOff>47625</xdr:colOff>
      <xdr:row>31</xdr:row>
      <xdr:rowOff>104776</xdr:rowOff>
    </xdr:to>
    <xdr:cxnSp macro="">
      <xdr:nvCxnSpPr>
        <xdr:cNvPr id="9" name="Connecteur droit avec flèche 8"/>
        <xdr:cNvCxnSpPr/>
      </xdr:nvCxnSpPr>
      <xdr:spPr>
        <a:xfrm flipV="1">
          <a:off x="7934325" y="391477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66675</xdr:colOff>
      <xdr:row>49</xdr:row>
      <xdr:rowOff>114300</xdr:rowOff>
    </xdr:from>
    <xdr:to>
      <xdr:col>15</xdr:col>
      <xdr:colOff>733425</xdr:colOff>
      <xdr:row>49</xdr:row>
      <xdr:rowOff>114303</xdr:rowOff>
    </xdr:to>
    <xdr:cxnSp macro="">
      <xdr:nvCxnSpPr>
        <xdr:cNvPr id="10" name="Connecteur droit avec flèche 9"/>
        <xdr:cNvCxnSpPr/>
      </xdr:nvCxnSpPr>
      <xdr:spPr>
        <a:xfrm flipV="1">
          <a:off x="4248150" y="4695825"/>
          <a:ext cx="5181600" cy="3"/>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57150</xdr:colOff>
      <xdr:row>52</xdr:row>
      <xdr:rowOff>123825</xdr:rowOff>
    </xdr:from>
    <xdr:to>
      <xdr:col>15</xdr:col>
      <xdr:colOff>723900</xdr:colOff>
      <xdr:row>52</xdr:row>
      <xdr:rowOff>123828</xdr:rowOff>
    </xdr:to>
    <xdr:cxnSp macro="">
      <xdr:nvCxnSpPr>
        <xdr:cNvPr id="11" name="Connecteur droit avec flèche 10"/>
        <xdr:cNvCxnSpPr/>
      </xdr:nvCxnSpPr>
      <xdr:spPr>
        <a:xfrm flipV="1">
          <a:off x="4238625" y="5276850"/>
          <a:ext cx="5181600" cy="3"/>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0</xdr:colOff>
      <xdr:row>55</xdr:row>
      <xdr:rowOff>123825</xdr:rowOff>
    </xdr:from>
    <xdr:to>
      <xdr:col>10</xdr:col>
      <xdr:colOff>47625</xdr:colOff>
      <xdr:row>55</xdr:row>
      <xdr:rowOff>123826</xdr:rowOff>
    </xdr:to>
    <xdr:cxnSp macro="">
      <xdr:nvCxnSpPr>
        <xdr:cNvPr id="12" name="Connecteur droit avec flèche 11"/>
        <xdr:cNvCxnSpPr/>
      </xdr:nvCxnSpPr>
      <xdr:spPr>
        <a:xfrm flipV="1">
          <a:off x="4181475" y="584835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152400</xdr:colOff>
      <xdr:row>9</xdr:row>
      <xdr:rowOff>0</xdr:rowOff>
    </xdr:from>
    <xdr:to>
      <xdr:col>19</xdr:col>
      <xdr:colOff>152401</xdr:colOff>
      <xdr:row>55</xdr:row>
      <xdr:rowOff>142876</xdr:rowOff>
    </xdr:to>
    <xdr:cxnSp macro="">
      <xdr:nvCxnSpPr>
        <xdr:cNvPr id="13" name="Connecteur droit avec flèche 12"/>
        <xdr:cNvCxnSpPr/>
      </xdr:nvCxnSpPr>
      <xdr:spPr>
        <a:xfrm flipH="1" flipV="1">
          <a:off x="11487150" y="2105025"/>
          <a:ext cx="1" cy="8886826"/>
        </a:xfrm>
        <a:prstGeom prst="straightConnector1">
          <a:avLst/>
        </a:prstGeom>
        <a:ln>
          <a:headEnd type="none"/>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95250</xdr:colOff>
      <xdr:row>13</xdr:row>
      <xdr:rowOff>95250</xdr:rowOff>
    </xdr:from>
    <xdr:to>
      <xdr:col>10</xdr:col>
      <xdr:colOff>257175</xdr:colOff>
      <xdr:row>13</xdr:row>
      <xdr:rowOff>95251</xdr:rowOff>
    </xdr:to>
    <xdr:cxnSp macro="">
      <xdr:nvCxnSpPr>
        <xdr:cNvPr id="14" name="Connecteur droit avec flèche 13"/>
        <xdr:cNvCxnSpPr/>
      </xdr:nvCxnSpPr>
      <xdr:spPr>
        <a:xfrm>
          <a:off x="5038725" y="4629150"/>
          <a:ext cx="9239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13</xdr:row>
      <xdr:rowOff>114300</xdr:rowOff>
    </xdr:from>
    <xdr:to>
      <xdr:col>16</xdr:col>
      <xdr:colOff>47625</xdr:colOff>
      <xdr:row>13</xdr:row>
      <xdr:rowOff>114301</xdr:rowOff>
    </xdr:to>
    <xdr:cxnSp macro="">
      <xdr:nvCxnSpPr>
        <xdr:cNvPr id="15" name="Connecteur droit avec flèche 14"/>
        <xdr:cNvCxnSpPr/>
      </xdr:nvCxnSpPr>
      <xdr:spPr>
        <a:xfrm flipV="1">
          <a:off x="7934325" y="6248400"/>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95250</xdr:colOff>
      <xdr:row>13</xdr:row>
      <xdr:rowOff>104775</xdr:rowOff>
    </xdr:from>
    <xdr:to>
      <xdr:col>7</xdr:col>
      <xdr:colOff>257175</xdr:colOff>
      <xdr:row>13</xdr:row>
      <xdr:rowOff>104776</xdr:rowOff>
    </xdr:to>
    <xdr:cxnSp macro="">
      <xdr:nvCxnSpPr>
        <xdr:cNvPr id="17" name="Connecteur droit avec flèche 16"/>
        <xdr:cNvCxnSpPr/>
      </xdr:nvCxnSpPr>
      <xdr:spPr>
        <a:xfrm>
          <a:off x="3162300" y="4638675"/>
          <a:ext cx="9239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10</xdr:row>
      <xdr:rowOff>85725</xdr:rowOff>
    </xdr:from>
    <xdr:to>
      <xdr:col>7</xdr:col>
      <xdr:colOff>266700</xdr:colOff>
      <xdr:row>10</xdr:row>
      <xdr:rowOff>85726</xdr:rowOff>
    </xdr:to>
    <xdr:cxnSp macro="">
      <xdr:nvCxnSpPr>
        <xdr:cNvPr id="18" name="Connecteur droit avec flèche 17"/>
        <xdr:cNvCxnSpPr/>
      </xdr:nvCxnSpPr>
      <xdr:spPr>
        <a:xfrm>
          <a:off x="3171825" y="4124325"/>
          <a:ext cx="9239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38100</xdr:colOff>
      <xdr:row>10</xdr:row>
      <xdr:rowOff>76200</xdr:rowOff>
    </xdr:from>
    <xdr:to>
      <xdr:col>9</xdr:col>
      <xdr:colOff>714375</xdr:colOff>
      <xdr:row>10</xdr:row>
      <xdr:rowOff>76201</xdr:rowOff>
    </xdr:to>
    <xdr:cxnSp macro="">
      <xdr:nvCxnSpPr>
        <xdr:cNvPr id="19" name="Connecteur droit avec flèche 18"/>
        <xdr:cNvCxnSpPr/>
      </xdr:nvCxnSpPr>
      <xdr:spPr>
        <a:xfrm>
          <a:off x="4981575" y="4686300"/>
          <a:ext cx="67627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47625</xdr:colOff>
      <xdr:row>10</xdr:row>
      <xdr:rowOff>66675</xdr:rowOff>
    </xdr:from>
    <xdr:to>
      <xdr:col>13</xdr:col>
      <xdr:colOff>304800</xdr:colOff>
      <xdr:row>10</xdr:row>
      <xdr:rowOff>66675</xdr:rowOff>
    </xdr:to>
    <xdr:cxnSp macro="">
      <xdr:nvCxnSpPr>
        <xdr:cNvPr id="21" name="Connecteur droit avec flèche 20"/>
        <xdr:cNvCxnSpPr/>
      </xdr:nvCxnSpPr>
      <xdr:spPr>
        <a:xfrm>
          <a:off x="6867525" y="4676775"/>
          <a:ext cx="1019175" cy="0"/>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66675</xdr:colOff>
      <xdr:row>10</xdr:row>
      <xdr:rowOff>76200</xdr:rowOff>
    </xdr:from>
    <xdr:to>
      <xdr:col>16</xdr:col>
      <xdr:colOff>323850</xdr:colOff>
      <xdr:row>10</xdr:row>
      <xdr:rowOff>76200</xdr:rowOff>
    </xdr:to>
    <xdr:cxnSp macro="">
      <xdr:nvCxnSpPr>
        <xdr:cNvPr id="23" name="Connecteur droit avec flèche 22"/>
        <xdr:cNvCxnSpPr/>
      </xdr:nvCxnSpPr>
      <xdr:spPr>
        <a:xfrm>
          <a:off x="8763000" y="4686300"/>
          <a:ext cx="1019175" cy="0"/>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18</xdr:row>
      <xdr:rowOff>85725</xdr:rowOff>
    </xdr:from>
    <xdr:to>
      <xdr:col>7</xdr:col>
      <xdr:colOff>266700</xdr:colOff>
      <xdr:row>18</xdr:row>
      <xdr:rowOff>85726</xdr:rowOff>
    </xdr:to>
    <xdr:cxnSp macro="">
      <xdr:nvCxnSpPr>
        <xdr:cNvPr id="32" name="Connecteur droit avec flèche 31"/>
        <xdr:cNvCxnSpPr/>
      </xdr:nvCxnSpPr>
      <xdr:spPr>
        <a:xfrm>
          <a:off x="3171825" y="4886325"/>
          <a:ext cx="9239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38100</xdr:colOff>
      <xdr:row>18</xdr:row>
      <xdr:rowOff>76200</xdr:rowOff>
    </xdr:from>
    <xdr:to>
      <xdr:col>9</xdr:col>
      <xdr:colOff>714375</xdr:colOff>
      <xdr:row>18</xdr:row>
      <xdr:rowOff>76201</xdr:rowOff>
    </xdr:to>
    <xdr:cxnSp macro="">
      <xdr:nvCxnSpPr>
        <xdr:cNvPr id="33" name="Connecteur droit avec flèche 32"/>
        <xdr:cNvCxnSpPr/>
      </xdr:nvCxnSpPr>
      <xdr:spPr>
        <a:xfrm>
          <a:off x="4981575" y="4876800"/>
          <a:ext cx="67627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47625</xdr:colOff>
      <xdr:row>18</xdr:row>
      <xdr:rowOff>66675</xdr:rowOff>
    </xdr:from>
    <xdr:to>
      <xdr:col>13</xdr:col>
      <xdr:colOff>304800</xdr:colOff>
      <xdr:row>18</xdr:row>
      <xdr:rowOff>66675</xdr:rowOff>
    </xdr:to>
    <xdr:cxnSp macro="">
      <xdr:nvCxnSpPr>
        <xdr:cNvPr id="34" name="Connecteur droit avec flèche 33"/>
        <xdr:cNvCxnSpPr/>
      </xdr:nvCxnSpPr>
      <xdr:spPr>
        <a:xfrm>
          <a:off x="6867525" y="4867275"/>
          <a:ext cx="1019175" cy="0"/>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57150</xdr:colOff>
      <xdr:row>18</xdr:row>
      <xdr:rowOff>57150</xdr:rowOff>
    </xdr:from>
    <xdr:to>
      <xdr:col>16</xdr:col>
      <xdr:colOff>314325</xdr:colOff>
      <xdr:row>18</xdr:row>
      <xdr:rowOff>57150</xdr:rowOff>
    </xdr:to>
    <xdr:cxnSp macro="">
      <xdr:nvCxnSpPr>
        <xdr:cNvPr id="35" name="Connecteur droit avec flèche 34"/>
        <xdr:cNvCxnSpPr/>
      </xdr:nvCxnSpPr>
      <xdr:spPr>
        <a:xfrm>
          <a:off x="8753475" y="4857750"/>
          <a:ext cx="1019175" cy="0"/>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323850</xdr:colOff>
      <xdr:row>38</xdr:row>
      <xdr:rowOff>114300</xdr:rowOff>
    </xdr:from>
    <xdr:to>
      <xdr:col>10</xdr:col>
      <xdr:colOff>19050</xdr:colOff>
      <xdr:row>38</xdr:row>
      <xdr:rowOff>114301</xdr:rowOff>
    </xdr:to>
    <xdr:cxnSp macro="">
      <xdr:nvCxnSpPr>
        <xdr:cNvPr id="36" name="Connecteur droit avec flèche 35"/>
        <xdr:cNvCxnSpPr/>
      </xdr:nvCxnSpPr>
      <xdr:spPr>
        <a:xfrm flipV="1">
          <a:off x="4152900" y="522922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323850</xdr:colOff>
      <xdr:row>45</xdr:row>
      <xdr:rowOff>114300</xdr:rowOff>
    </xdr:from>
    <xdr:to>
      <xdr:col>10</xdr:col>
      <xdr:colOff>19050</xdr:colOff>
      <xdr:row>45</xdr:row>
      <xdr:rowOff>114301</xdr:rowOff>
    </xdr:to>
    <xdr:cxnSp macro="">
      <xdr:nvCxnSpPr>
        <xdr:cNvPr id="37" name="Connecteur droit avec flèche 36"/>
        <xdr:cNvCxnSpPr/>
      </xdr:nvCxnSpPr>
      <xdr:spPr>
        <a:xfrm flipV="1">
          <a:off x="4152900" y="522922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209550</xdr:colOff>
      <xdr:row>38</xdr:row>
      <xdr:rowOff>123825</xdr:rowOff>
    </xdr:from>
    <xdr:to>
      <xdr:col>16</xdr:col>
      <xdr:colOff>266700</xdr:colOff>
      <xdr:row>38</xdr:row>
      <xdr:rowOff>123827</xdr:rowOff>
    </xdr:to>
    <xdr:cxnSp macro="">
      <xdr:nvCxnSpPr>
        <xdr:cNvPr id="38" name="Connecteur droit avec flèche 37"/>
        <xdr:cNvCxnSpPr/>
      </xdr:nvCxnSpPr>
      <xdr:spPr>
        <a:xfrm flipV="1">
          <a:off x="7791450" y="7534275"/>
          <a:ext cx="1933575" cy="2"/>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200025</xdr:colOff>
      <xdr:row>44</xdr:row>
      <xdr:rowOff>171450</xdr:rowOff>
    </xdr:from>
    <xdr:to>
      <xdr:col>16</xdr:col>
      <xdr:colOff>257175</xdr:colOff>
      <xdr:row>44</xdr:row>
      <xdr:rowOff>171452</xdr:rowOff>
    </xdr:to>
    <xdr:cxnSp macro="">
      <xdr:nvCxnSpPr>
        <xdr:cNvPr id="41" name="Connecteur droit avec flèche 40"/>
        <xdr:cNvCxnSpPr/>
      </xdr:nvCxnSpPr>
      <xdr:spPr>
        <a:xfrm flipV="1">
          <a:off x="7781925" y="8915400"/>
          <a:ext cx="1933575" cy="2"/>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333375</xdr:colOff>
      <xdr:row>42</xdr:row>
      <xdr:rowOff>76200</xdr:rowOff>
    </xdr:from>
    <xdr:to>
      <xdr:col>16</xdr:col>
      <xdr:colOff>276225</xdr:colOff>
      <xdr:row>42</xdr:row>
      <xdr:rowOff>76200</xdr:rowOff>
    </xdr:to>
    <xdr:cxnSp macro="">
      <xdr:nvCxnSpPr>
        <xdr:cNvPr id="44" name="Connecteur droit avec flèche 43"/>
        <xdr:cNvCxnSpPr/>
      </xdr:nvCxnSpPr>
      <xdr:spPr>
        <a:xfrm>
          <a:off x="7915275" y="8439150"/>
          <a:ext cx="1819275" cy="0"/>
        </a:xfrm>
        <a:prstGeom prst="straightConnector1">
          <a:avLst/>
        </a:prstGeom>
        <a:ln>
          <a:prstDash val="dash"/>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276225</xdr:colOff>
      <xdr:row>35</xdr:row>
      <xdr:rowOff>95250</xdr:rowOff>
    </xdr:from>
    <xdr:to>
      <xdr:col>16</xdr:col>
      <xdr:colOff>219075</xdr:colOff>
      <xdr:row>35</xdr:row>
      <xdr:rowOff>95250</xdr:rowOff>
    </xdr:to>
    <xdr:cxnSp macro="">
      <xdr:nvCxnSpPr>
        <xdr:cNvPr id="45" name="Connecteur droit avec flèche 44"/>
        <xdr:cNvCxnSpPr/>
      </xdr:nvCxnSpPr>
      <xdr:spPr>
        <a:xfrm>
          <a:off x="7858125" y="7124700"/>
          <a:ext cx="1819275" cy="0"/>
        </a:xfrm>
        <a:prstGeom prst="straightConnector1">
          <a:avLst/>
        </a:prstGeom>
        <a:ln>
          <a:prstDash val="dash"/>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323850</xdr:colOff>
      <xdr:row>59</xdr:row>
      <xdr:rowOff>142875</xdr:rowOff>
    </xdr:from>
    <xdr:to>
      <xdr:col>10</xdr:col>
      <xdr:colOff>19050</xdr:colOff>
      <xdr:row>59</xdr:row>
      <xdr:rowOff>142876</xdr:rowOff>
    </xdr:to>
    <xdr:cxnSp macro="">
      <xdr:nvCxnSpPr>
        <xdr:cNvPr id="48" name="Connecteur droit avec flèche 47"/>
        <xdr:cNvCxnSpPr/>
      </xdr:nvCxnSpPr>
      <xdr:spPr>
        <a:xfrm flipV="1">
          <a:off x="4038600" y="11858625"/>
          <a:ext cx="1571625"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161925</xdr:colOff>
      <xdr:row>59</xdr:row>
      <xdr:rowOff>152400</xdr:rowOff>
    </xdr:from>
    <xdr:to>
      <xdr:col>16</xdr:col>
      <xdr:colOff>219075</xdr:colOff>
      <xdr:row>59</xdr:row>
      <xdr:rowOff>152402</xdr:rowOff>
    </xdr:to>
    <xdr:cxnSp macro="">
      <xdr:nvCxnSpPr>
        <xdr:cNvPr id="49" name="Connecteur droit avec flèche 48"/>
        <xdr:cNvCxnSpPr/>
      </xdr:nvCxnSpPr>
      <xdr:spPr>
        <a:xfrm flipV="1">
          <a:off x="7629525" y="11868150"/>
          <a:ext cx="1933575" cy="2"/>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10</xdr:col>
      <xdr:colOff>104775</xdr:colOff>
      <xdr:row>28</xdr:row>
      <xdr:rowOff>66675</xdr:rowOff>
    </xdr:from>
    <xdr:ext cx="685800" cy="142875"/>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39350" y="4810125"/>
          <a:ext cx="685800" cy="142875"/>
        </a:xfrm>
        <a:prstGeom prst="rect">
          <a:avLst/>
        </a:prstGeom>
      </xdr:spPr>
    </xdr:pic>
    <xdr:clientData/>
  </xdr:oneCellAnchor>
  <xdr:oneCellAnchor>
    <xdr:from>
      <xdr:col>10</xdr:col>
      <xdr:colOff>76200</xdr:colOff>
      <xdr:row>28</xdr:row>
      <xdr:rowOff>581025</xdr:rowOff>
    </xdr:from>
    <xdr:ext cx="695325" cy="180975"/>
    <xdr:pic>
      <xdr:nvPicPr>
        <xdr:cNvPr id="3" name="Imag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192125" y="2828925"/>
          <a:ext cx="695325" cy="180975"/>
        </a:xfrm>
        <a:prstGeom prst="rect">
          <a:avLst/>
        </a:prstGeom>
      </xdr:spPr>
    </xdr:pic>
    <xdr:clientData/>
  </xdr:oneCellAnchor>
  <xdr:oneCellAnchor>
    <xdr:from>
      <xdr:col>10</xdr:col>
      <xdr:colOff>76200</xdr:colOff>
      <xdr:row>30</xdr:row>
      <xdr:rowOff>76200</xdr:rowOff>
    </xdr:from>
    <xdr:ext cx="676275" cy="180975"/>
    <xdr:pic>
      <xdr:nvPicPr>
        <xdr:cNvPr id="4" name="Imag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92125" y="3209925"/>
          <a:ext cx="676275" cy="180975"/>
        </a:xfrm>
        <a:prstGeom prst="rect">
          <a:avLst/>
        </a:prstGeom>
      </xdr:spPr>
    </xdr:pic>
    <xdr:clientData/>
  </xdr:oneCellAnchor>
  <xdr:oneCellAnchor>
    <xdr:from>
      <xdr:col>10</xdr:col>
      <xdr:colOff>76200</xdr:colOff>
      <xdr:row>31</xdr:row>
      <xdr:rowOff>76200</xdr:rowOff>
    </xdr:from>
    <xdr:ext cx="685800" cy="180975"/>
    <xdr:pic>
      <xdr:nvPicPr>
        <xdr:cNvPr id="5" name="Imag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92125" y="3400425"/>
          <a:ext cx="685800" cy="180975"/>
        </a:xfrm>
        <a:prstGeom prst="rect">
          <a:avLst/>
        </a:prstGeom>
      </xdr:spPr>
    </xdr:pic>
    <xdr:clientData/>
  </xdr:oneCellAnchor>
  <xdr:oneCellAnchor>
    <xdr:from>
      <xdr:col>10</xdr:col>
      <xdr:colOff>76200</xdr:colOff>
      <xdr:row>31</xdr:row>
      <xdr:rowOff>266700</xdr:rowOff>
    </xdr:from>
    <xdr:ext cx="685800" cy="180975"/>
    <xdr:pic>
      <xdr:nvPicPr>
        <xdr:cNvPr id="6" name="Imag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192125" y="3590925"/>
          <a:ext cx="685800" cy="180975"/>
        </a:xfrm>
        <a:prstGeom prst="rect">
          <a:avLst/>
        </a:prstGeom>
      </xdr:spPr>
    </xdr:pic>
    <xdr:clientData/>
  </xdr:oneCellAnchor>
  <xdr:oneCellAnchor>
    <xdr:from>
      <xdr:col>10</xdr:col>
      <xdr:colOff>76200</xdr:colOff>
      <xdr:row>31</xdr:row>
      <xdr:rowOff>457200</xdr:rowOff>
    </xdr:from>
    <xdr:ext cx="685800" cy="190500"/>
    <xdr:pic>
      <xdr:nvPicPr>
        <xdr:cNvPr id="7" name="Imag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92125" y="3781425"/>
          <a:ext cx="685800" cy="190500"/>
        </a:xfrm>
        <a:prstGeom prst="rect">
          <a:avLst/>
        </a:prstGeom>
      </xdr:spPr>
    </xdr:pic>
    <xdr:clientData/>
  </xdr:oneCellAnchor>
  <xdr:oneCellAnchor>
    <xdr:from>
      <xdr:col>10</xdr:col>
      <xdr:colOff>609600</xdr:colOff>
      <xdr:row>31</xdr:row>
      <xdr:rowOff>723900</xdr:rowOff>
    </xdr:from>
    <xdr:ext cx="685800" cy="180975"/>
    <xdr:pic>
      <xdr:nvPicPr>
        <xdr:cNvPr id="8" name="Imag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25525" y="4048125"/>
          <a:ext cx="685800" cy="180975"/>
        </a:xfrm>
        <a:prstGeom prst="rect">
          <a:avLst/>
        </a:prstGeom>
      </xdr:spPr>
    </xdr:pic>
    <xdr:clientData/>
  </xdr:oneCellAnchor>
  <xdr:oneCellAnchor>
    <xdr:from>
      <xdr:col>10</xdr:col>
      <xdr:colOff>266700</xdr:colOff>
      <xdr:row>33</xdr:row>
      <xdr:rowOff>0</xdr:rowOff>
    </xdr:from>
    <xdr:ext cx="685800" cy="180975"/>
    <xdr:pic>
      <xdr:nvPicPr>
        <xdr:cNvPr id="9" name="Image 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82625" y="4295775"/>
          <a:ext cx="685800" cy="180975"/>
        </a:xfrm>
        <a:prstGeom prst="rect">
          <a:avLst/>
        </a:prstGeom>
      </xdr:spPr>
    </xdr:pic>
    <xdr:clientData/>
  </xdr:oneCellAnchor>
  <xdr:oneCellAnchor>
    <xdr:from>
      <xdr:col>10</xdr:col>
      <xdr:colOff>390525</xdr:colOff>
      <xdr:row>33</xdr:row>
      <xdr:rowOff>0</xdr:rowOff>
    </xdr:from>
    <xdr:ext cx="685800" cy="190500"/>
    <xdr:pic>
      <xdr:nvPicPr>
        <xdr:cNvPr id="10" name="Imag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506450" y="4581525"/>
          <a:ext cx="685800" cy="190500"/>
        </a:xfrm>
        <a:prstGeom prst="rect">
          <a:avLst/>
        </a:prstGeom>
      </xdr:spPr>
    </xdr:pic>
    <xdr:clientData/>
  </xdr:oneCellAnchor>
  <xdr:oneCellAnchor>
    <xdr:from>
      <xdr:col>10</xdr:col>
      <xdr:colOff>66675</xdr:colOff>
      <xdr:row>33</xdr:row>
      <xdr:rowOff>0</xdr:rowOff>
    </xdr:from>
    <xdr:ext cx="685800" cy="180975"/>
    <xdr:pic>
      <xdr:nvPicPr>
        <xdr:cNvPr id="11" name="Image 1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2600" y="4829175"/>
          <a:ext cx="685800" cy="180975"/>
        </a:xfrm>
        <a:prstGeom prst="rect">
          <a:avLst/>
        </a:prstGeom>
      </xdr:spPr>
    </xdr:pic>
    <xdr:clientData/>
  </xdr:oneCellAnchor>
  <xdr:oneCellAnchor>
    <xdr:from>
      <xdr:col>10</xdr:col>
      <xdr:colOff>28575</xdr:colOff>
      <xdr:row>33</xdr:row>
      <xdr:rowOff>0</xdr:rowOff>
    </xdr:from>
    <xdr:ext cx="685800" cy="180975"/>
    <xdr:pic>
      <xdr:nvPicPr>
        <xdr:cNvPr id="12" name="Image 1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44500" y="5543550"/>
          <a:ext cx="685800" cy="180975"/>
        </a:xfrm>
        <a:prstGeom prst="rect">
          <a:avLst/>
        </a:prstGeom>
      </xdr:spPr>
    </xdr:pic>
    <xdr:clientData/>
  </xdr:oneCellAnchor>
  <xdr:oneCellAnchor>
    <xdr:from>
      <xdr:col>10</xdr:col>
      <xdr:colOff>447675</xdr:colOff>
      <xdr:row>33</xdr:row>
      <xdr:rowOff>0</xdr:rowOff>
    </xdr:from>
    <xdr:ext cx="685800" cy="190500"/>
    <xdr:pic>
      <xdr:nvPicPr>
        <xdr:cNvPr id="13" name="Imag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563600" y="5133975"/>
          <a:ext cx="685800" cy="190500"/>
        </a:xfrm>
        <a:prstGeom prst="rect">
          <a:avLst/>
        </a:prstGeom>
      </xdr:spPr>
    </xdr:pic>
    <xdr:clientData/>
  </xdr:oneCellAnchor>
  <xdr:oneCellAnchor>
    <xdr:from>
      <xdr:col>10</xdr:col>
      <xdr:colOff>228601</xdr:colOff>
      <xdr:row>19</xdr:row>
      <xdr:rowOff>66675</xdr:rowOff>
    </xdr:from>
    <xdr:ext cx="1143000" cy="714551"/>
    <xdr:pic>
      <xdr:nvPicPr>
        <xdr:cNvPr id="14" name="Image 1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163176" y="3257550"/>
          <a:ext cx="1143000" cy="71455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10</xdr:col>
      <xdr:colOff>104775</xdr:colOff>
      <xdr:row>28</xdr:row>
      <xdr:rowOff>66675</xdr:rowOff>
    </xdr:from>
    <xdr:ext cx="685800" cy="142875"/>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39350" y="4514850"/>
          <a:ext cx="685800" cy="142875"/>
        </a:xfrm>
        <a:prstGeom prst="rect">
          <a:avLst/>
        </a:prstGeom>
      </xdr:spPr>
    </xdr:pic>
    <xdr:clientData/>
  </xdr:oneCellAnchor>
  <xdr:oneCellAnchor>
    <xdr:from>
      <xdr:col>10</xdr:col>
      <xdr:colOff>76200</xdr:colOff>
      <xdr:row>28</xdr:row>
      <xdr:rowOff>581025</xdr:rowOff>
    </xdr:from>
    <xdr:ext cx="695325" cy="180975"/>
    <xdr:pic>
      <xdr:nvPicPr>
        <xdr:cNvPr id="3" name="Imag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010775" y="5029200"/>
          <a:ext cx="695325" cy="180975"/>
        </a:xfrm>
        <a:prstGeom prst="rect">
          <a:avLst/>
        </a:prstGeom>
      </xdr:spPr>
    </xdr:pic>
    <xdr:clientData/>
  </xdr:oneCellAnchor>
  <xdr:oneCellAnchor>
    <xdr:from>
      <xdr:col>10</xdr:col>
      <xdr:colOff>76200</xdr:colOff>
      <xdr:row>30</xdr:row>
      <xdr:rowOff>76200</xdr:rowOff>
    </xdr:from>
    <xdr:ext cx="676275" cy="180975"/>
    <xdr:pic>
      <xdr:nvPicPr>
        <xdr:cNvPr id="4" name="Imag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010775" y="5981700"/>
          <a:ext cx="676275" cy="180975"/>
        </a:xfrm>
        <a:prstGeom prst="rect">
          <a:avLst/>
        </a:prstGeom>
      </xdr:spPr>
    </xdr:pic>
    <xdr:clientData/>
  </xdr:oneCellAnchor>
  <xdr:oneCellAnchor>
    <xdr:from>
      <xdr:col>10</xdr:col>
      <xdr:colOff>76200</xdr:colOff>
      <xdr:row>31</xdr:row>
      <xdr:rowOff>76200</xdr:rowOff>
    </xdr:from>
    <xdr:ext cx="685800" cy="180975"/>
    <xdr:pic>
      <xdr:nvPicPr>
        <xdr:cNvPr id="5" name="Imag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010775" y="6172200"/>
          <a:ext cx="685800" cy="180975"/>
        </a:xfrm>
        <a:prstGeom prst="rect">
          <a:avLst/>
        </a:prstGeom>
      </xdr:spPr>
    </xdr:pic>
    <xdr:clientData/>
  </xdr:oneCellAnchor>
  <xdr:oneCellAnchor>
    <xdr:from>
      <xdr:col>10</xdr:col>
      <xdr:colOff>76200</xdr:colOff>
      <xdr:row>31</xdr:row>
      <xdr:rowOff>266700</xdr:rowOff>
    </xdr:from>
    <xdr:ext cx="685800" cy="180975"/>
    <xdr:pic>
      <xdr:nvPicPr>
        <xdr:cNvPr id="6" name="Imag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10775" y="6362700"/>
          <a:ext cx="685800" cy="180975"/>
        </a:xfrm>
        <a:prstGeom prst="rect">
          <a:avLst/>
        </a:prstGeom>
      </xdr:spPr>
    </xdr:pic>
    <xdr:clientData/>
  </xdr:oneCellAnchor>
  <xdr:oneCellAnchor>
    <xdr:from>
      <xdr:col>10</xdr:col>
      <xdr:colOff>76200</xdr:colOff>
      <xdr:row>31</xdr:row>
      <xdr:rowOff>457200</xdr:rowOff>
    </xdr:from>
    <xdr:ext cx="685800" cy="190500"/>
    <xdr:pic>
      <xdr:nvPicPr>
        <xdr:cNvPr id="7" name="Imag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010775" y="6553200"/>
          <a:ext cx="685800" cy="190500"/>
        </a:xfrm>
        <a:prstGeom prst="rect">
          <a:avLst/>
        </a:prstGeom>
      </xdr:spPr>
    </xdr:pic>
    <xdr:clientData/>
  </xdr:oneCellAnchor>
  <xdr:oneCellAnchor>
    <xdr:from>
      <xdr:col>10</xdr:col>
      <xdr:colOff>609600</xdr:colOff>
      <xdr:row>31</xdr:row>
      <xdr:rowOff>723900</xdr:rowOff>
    </xdr:from>
    <xdr:ext cx="685800" cy="180975"/>
    <xdr:pic>
      <xdr:nvPicPr>
        <xdr:cNvPr id="8" name="Imag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4175" y="6819900"/>
          <a:ext cx="685800" cy="180975"/>
        </a:xfrm>
        <a:prstGeom prst="rect">
          <a:avLst/>
        </a:prstGeom>
      </xdr:spPr>
    </xdr:pic>
    <xdr:clientData/>
  </xdr:oneCellAnchor>
  <xdr:oneCellAnchor>
    <xdr:from>
      <xdr:col>10</xdr:col>
      <xdr:colOff>266700</xdr:colOff>
      <xdr:row>33</xdr:row>
      <xdr:rowOff>0</xdr:rowOff>
    </xdr:from>
    <xdr:ext cx="685800" cy="180975"/>
    <xdr:pic>
      <xdr:nvPicPr>
        <xdr:cNvPr id="9" name="Image 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201275" y="7277100"/>
          <a:ext cx="685800" cy="180975"/>
        </a:xfrm>
        <a:prstGeom prst="rect">
          <a:avLst/>
        </a:prstGeom>
      </xdr:spPr>
    </xdr:pic>
    <xdr:clientData/>
  </xdr:oneCellAnchor>
  <xdr:oneCellAnchor>
    <xdr:from>
      <xdr:col>10</xdr:col>
      <xdr:colOff>390525</xdr:colOff>
      <xdr:row>33</xdr:row>
      <xdr:rowOff>0</xdr:rowOff>
    </xdr:from>
    <xdr:ext cx="685800" cy="190500"/>
    <xdr:pic>
      <xdr:nvPicPr>
        <xdr:cNvPr id="10" name="Imag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325100" y="7277100"/>
          <a:ext cx="685800" cy="190500"/>
        </a:xfrm>
        <a:prstGeom prst="rect">
          <a:avLst/>
        </a:prstGeom>
      </xdr:spPr>
    </xdr:pic>
    <xdr:clientData/>
  </xdr:oneCellAnchor>
  <xdr:oneCellAnchor>
    <xdr:from>
      <xdr:col>10</xdr:col>
      <xdr:colOff>66675</xdr:colOff>
      <xdr:row>33</xdr:row>
      <xdr:rowOff>0</xdr:rowOff>
    </xdr:from>
    <xdr:ext cx="685800" cy="180975"/>
    <xdr:pic>
      <xdr:nvPicPr>
        <xdr:cNvPr id="11" name="Image 1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001250" y="7277100"/>
          <a:ext cx="685800" cy="180975"/>
        </a:xfrm>
        <a:prstGeom prst="rect">
          <a:avLst/>
        </a:prstGeom>
      </xdr:spPr>
    </xdr:pic>
    <xdr:clientData/>
  </xdr:oneCellAnchor>
  <xdr:oneCellAnchor>
    <xdr:from>
      <xdr:col>10</xdr:col>
      <xdr:colOff>28575</xdr:colOff>
      <xdr:row>33</xdr:row>
      <xdr:rowOff>0</xdr:rowOff>
    </xdr:from>
    <xdr:ext cx="685800" cy="180975"/>
    <xdr:pic>
      <xdr:nvPicPr>
        <xdr:cNvPr id="12" name="Image 1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963150" y="7277100"/>
          <a:ext cx="685800" cy="180975"/>
        </a:xfrm>
        <a:prstGeom prst="rect">
          <a:avLst/>
        </a:prstGeom>
      </xdr:spPr>
    </xdr:pic>
    <xdr:clientData/>
  </xdr:oneCellAnchor>
  <xdr:oneCellAnchor>
    <xdr:from>
      <xdr:col>10</xdr:col>
      <xdr:colOff>447675</xdr:colOff>
      <xdr:row>33</xdr:row>
      <xdr:rowOff>0</xdr:rowOff>
    </xdr:from>
    <xdr:ext cx="685800" cy="190500"/>
    <xdr:pic>
      <xdr:nvPicPr>
        <xdr:cNvPr id="13" name="Imag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382250" y="7277100"/>
          <a:ext cx="685800" cy="190500"/>
        </a:xfrm>
        <a:prstGeom prst="rect">
          <a:avLst/>
        </a:prstGeom>
      </xdr:spPr>
    </xdr:pic>
    <xdr:clientData/>
  </xdr:oneCellAnchor>
  <xdr:oneCellAnchor>
    <xdr:from>
      <xdr:col>10</xdr:col>
      <xdr:colOff>228601</xdr:colOff>
      <xdr:row>19</xdr:row>
      <xdr:rowOff>66675</xdr:rowOff>
    </xdr:from>
    <xdr:ext cx="1143000" cy="714551"/>
    <xdr:pic>
      <xdr:nvPicPr>
        <xdr:cNvPr id="14" name="Image 1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163176" y="3238500"/>
          <a:ext cx="1143000" cy="71455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10</xdr:col>
      <xdr:colOff>104775</xdr:colOff>
      <xdr:row>28</xdr:row>
      <xdr:rowOff>66675</xdr:rowOff>
    </xdr:from>
    <xdr:ext cx="685800" cy="142875"/>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53775" y="3219450"/>
          <a:ext cx="685800" cy="142875"/>
        </a:xfrm>
        <a:prstGeom prst="rect">
          <a:avLst/>
        </a:prstGeom>
      </xdr:spPr>
    </xdr:pic>
    <xdr:clientData/>
  </xdr:oneCellAnchor>
  <xdr:oneCellAnchor>
    <xdr:from>
      <xdr:col>10</xdr:col>
      <xdr:colOff>76200</xdr:colOff>
      <xdr:row>28</xdr:row>
      <xdr:rowOff>581025</xdr:rowOff>
    </xdr:from>
    <xdr:ext cx="695325" cy="180975"/>
    <xdr:pic>
      <xdr:nvPicPr>
        <xdr:cNvPr id="3" name="Imag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125200" y="3733800"/>
          <a:ext cx="695325" cy="180975"/>
        </a:xfrm>
        <a:prstGeom prst="rect">
          <a:avLst/>
        </a:prstGeom>
      </xdr:spPr>
    </xdr:pic>
    <xdr:clientData/>
  </xdr:oneCellAnchor>
  <xdr:oneCellAnchor>
    <xdr:from>
      <xdr:col>10</xdr:col>
      <xdr:colOff>76200</xdr:colOff>
      <xdr:row>30</xdr:row>
      <xdr:rowOff>76200</xdr:rowOff>
    </xdr:from>
    <xdr:ext cx="676275" cy="180975"/>
    <xdr:pic>
      <xdr:nvPicPr>
        <xdr:cNvPr id="4" name="Imag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125200" y="4914900"/>
          <a:ext cx="676275" cy="180975"/>
        </a:xfrm>
        <a:prstGeom prst="rect">
          <a:avLst/>
        </a:prstGeom>
      </xdr:spPr>
    </xdr:pic>
    <xdr:clientData/>
  </xdr:oneCellAnchor>
  <xdr:oneCellAnchor>
    <xdr:from>
      <xdr:col>10</xdr:col>
      <xdr:colOff>76200</xdr:colOff>
      <xdr:row>31</xdr:row>
      <xdr:rowOff>76200</xdr:rowOff>
    </xdr:from>
    <xdr:ext cx="685800" cy="180975"/>
    <xdr:pic>
      <xdr:nvPicPr>
        <xdr:cNvPr id="5" name="Imag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125200" y="5105400"/>
          <a:ext cx="685800" cy="180975"/>
        </a:xfrm>
        <a:prstGeom prst="rect">
          <a:avLst/>
        </a:prstGeom>
      </xdr:spPr>
    </xdr:pic>
    <xdr:clientData/>
  </xdr:oneCellAnchor>
  <xdr:oneCellAnchor>
    <xdr:from>
      <xdr:col>10</xdr:col>
      <xdr:colOff>76200</xdr:colOff>
      <xdr:row>31</xdr:row>
      <xdr:rowOff>266700</xdr:rowOff>
    </xdr:from>
    <xdr:ext cx="685800" cy="180975"/>
    <xdr:pic>
      <xdr:nvPicPr>
        <xdr:cNvPr id="6" name="Imag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5200" y="5295900"/>
          <a:ext cx="685800" cy="180975"/>
        </a:xfrm>
        <a:prstGeom prst="rect">
          <a:avLst/>
        </a:prstGeom>
      </xdr:spPr>
    </xdr:pic>
    <xdr:clientData/>
  </xdr:oneCellAnchor>
  <xdr:oneCellAnchor>
    <xdr:from>
      <xdr:col>10</xdr:col>
      <xdr:colOff>76200</xdr:colOff>
      <xdr:row>31</xdr:row>
      <xdr:rowOff>457200</xdr:rowOff>
    </xdr:from>
    <xdr:ext cx="685800" cy="190500"/>
    <xdr:pic>
      <xdr:nvPicPr>
        <xdr:cNvPr id="7" name="Imag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125200" y="5486400"/>
          <a:ext cx="685800" cy="190500"/>
        </a:xfrm>
        <a:prstGeom prst="rect">
          <a:avLst/>
        </a:prstGeom>
      </xdr:spPr>
    </xdr:pic>
    <xdr:clientData/>
  </xdr:oneCellAnchor>
  <xdr:oneCellAnchor>
    <xdr:from>
      <xdr:col>10</xdr:col>
      <xdr:colOff>609600</xdr:colOff>
      <xdr:row>31</xdr:row>
      <xdr:rowOff>723900</xdr:rowOff>
    </xdr:from>
    <xdr:ext cx="685800" cy="180975"/>
    <xdr:pic>
      <xdr:nvPicPr>
        <xdr:cNvPr id="8" name="Imag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58600" y="5753100"/>
          <a:ext cx="685800" cy="180975"/>
        </a:xfrm>
        <a:prstGeom prst="rect">
          <a:avLst/>
        </a:prstGeom>
      </xdr:spPr>
    </xdr:pic>
    <xdr:clientData/>
  </xdr:oneCellAnchor>
  <xdr:oneCellAnchor>
    <xdr:from>
      <xdr:col>10</xdr:col>
      <xdr:colOff>266700</xdr:colOff>
      <xdr:row>33</xdr:row>
      <xdr:rowOff>0</xdr:rowOff>
    </xdr:from>
    <xdr:ext cx="685800" cy="180975"/>
    <xdr:pic>
      <xdr:nvPicPr>
        <xdr:cNvPr id="9" name="Image 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315700" y="7315200"/>
          <a:ext cx="685800" cy="180975"/>
        </a:xfrm>
        <a:prstGeom prst="rect">
          <a:avLst/>
        </a:prstGeom>
      </xdr:spPr>
    </xdr:pic>
    <xdr:clientData/>
  </xdr:oneCellAnchor>
  <xdr:oneCellAnchor>
    <xdr:from>
      <xdr:col>10</xdr:col>
      <xdr:colOff>390525</xdr:colOff>
      <xdr:row>33</xdr:row>
      <xdr:rowOff>0</xdr:rowOff>
    </xdr:from>
    <xdr:ext cx="685800" cy="190500"/>
    <xdr:pic>
      <xdr:nvPicPr>
        <xdr:cNvPr id="10" name="Imag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39525" y="7315200"/>
          <a:ext cx="685800" cy="190500"/>
        </a:xfrm>
        <a:prstGeom prst="rect">
          <a:avLst/>
        </a:prstGeom>
      </xdr:spPr>
    </xdr:pic>
    <xdr:clientData/>
  </xdr:oneCellAnchor>
  <xdr:oneCellAnchor>
    <xdr:from>
      <xdr:col>10</xdr:col>
      <xdr:colOff>66675</xdr:colOff>
      <xdr:row>33</xdr:row>
      <xdr:rowOff>0</xdr:rowOff>
    </xdr:from>
    <xdr:ext cx="685800" cy="180975"/>
    <xdr:pic>
      <xdr:nvPicPr>
        <xdr:cNvPr id="11" name="Image 1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115675" y="7315200"/>
          <a:ext cx="685800" cy="180975"/>
        </a:xfrm>
        <a:prstGeom prst="rect">
          <a:avLst/>
        </a:prstGeom>
      </xdr:spPr>
    </xdr:pic>
    <xdr:clientData/>
  </xdr:oneCellAnchor>
  <xdr:oneCellAnchor>
    <xdr:from>
      <xdr:col>10</xdr:col>
      <xdr:colOff>28575</xdr:colOff>
      <xdr:row>33</xdr:row>
      <xdr:rowOff>0</xdr:rowOff>
    </xdr:from>
    <xdr:ext cx="685800" cy="180975"/>
    <xdr:pic>
      <xdr:nvPicPr>
        <xdr:cNvPr id="12" name="Image 1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077575" y="7315200"/>
          <a:ext cx="685800" cy="180975"/>
        </a:xfrm>
        <a:prstGeom prst="rect">
          <a:avLst/>
        </a:prstGeom>
      </xdr:spPr>
    </xdr:pic>
    <xdr:clientData/>
  </xdr:oneCellAnchor>
  <xdr:oneCellAnchor>
    <xdr:from>
      <xdr:col>10</xdr:col>
      <xdr:colOff>447675</xdr:colOff>
      <xdr:row>33</xdr:row>
      <xdr:rowOff>0</xdr:rowOff>
    </xdr:from>
    <xdr:ext cx="685800" cy="190500"/>
    <xdr:pic>
      <xdr:nvPicPr>
        <xdr:cNvPr id="13" name="Imag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96675" y="7315200"/>
          <a:ext cx="685800" cy="190500"/>
        </a:xfrm>
        <a:prstGeom prst="rect">
          <a:avLst/>
        </a:prstGeom>
      </xdr:spPr>
    </xdr:pic>
    <xdr:clientData/>
  </xdr:oneCellAnchor>
  <xdr:oneCellAnchor>
    <xdr:from>
      <xdr:col>10</xdr:col>
      <xdr:colOff>228601</xdr:colOff>
      <xdr:row>19</xdr:row>
      <xdr:rowOff>66675</xdr:rowOff>
    </xdr:from>
    <xdr:ext cx="1143000" cy="714551"/>
    <xdr:pic>
      <xdr:nvPicPr>
        <xdr:cNvPr id="14" name="Image 1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277601" y="2266950"/>
          <a:ext cx="1143000" cy="71455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10</xdr:col>
      <xdr:colOff>104775</xdr:colOff>
      <xdr:row>28</xdr:row>
      <xdr:rowOff>66675</xdr:rowOff>
    </xdr:from>
    <xdr:ext cx="685800" cy="142875"/>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91850" y="3305175"/>
          <a:ext cx="685800" cy="142875"/>
        </a:xfrm>
        <a:prstGeom prst="rect">
          <a:avLst/>
        </a:prstGeom>
      </xdr:spPr>
    </xdr:pic>
    <xdr:clientData/>
  </xdr:oneCellAnchor>
  <xdr:oneCellAnchor>
    <xdr:from>
      <xdr:col>10</xdr:col>
      <xdr:colOff>76200</xdr:colOff>
      <xdr:row>28</xdr:row>
      <xdr:rowOff>581025</xdr:rowOff>
    </xdr:from>
    <xdr:ext cx="695325" cy="180975"/>
    <xdr:pic>
      <xdr:nvPicPr>
        <xdr:cNvPr id="3" name="Imag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963275" y="3819525"/>
          <a:ext cx="695325" cy="180975"/>
        </a:xfrm>
        <a:prstGeom prst="rect">
          <a:avLst/>
        </a:prstGeom>
      </xdr:spPr>
    </xdr:pic>
    <xdr:clientData/>
  </xdr:oneCellAnchor>
  <xdr:oneCellAnchor>
    <xdr:from>
      <xdr:col>10</xdr:col>
      <xdr:colOff>76200</xdr:colOff>
      <xdr:row>30</xdr:row>
      <xdr:rowOff>76200</xdr:rowOff>
    </xdr:from>
    <xdr:ext cx="676275" cy="180975"/>
    <xdr:pic>
      <xdr:nvPicPr>
        <xdr:cNvPr id="4" name="Imag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963275" y="4610100"/>
          <a:ext cx="676275" cy="180975"/>
        </a:xfrm>
        <a:prstGeom prst="rect">
          <a:avLst/>
        </a:prstGeom>
      </xdr:spPr>
    </xdr:pic>
    <xdr:clientData/>
  </xdr:oneCellAnchor>
  <xdr:oneCellAnchor>
    <xdr:from>
      <xdr:col>10</xdr:col>
      <xdr:colOff>76200</xdr:colOff>
      <xdr:row>31</xdr:row>
      <xdr:rowOff>76200</xdr:rowOff>
    </xdr:from>
    <xdr:ext cx="685800" cy="180975"/>
    <xdr:pic>
      <xdr:nvPicPr>
        <xdr:cNvPr id="5" name="Imag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63275" y="4800600"/>
          <a:ext cx="685800" cy="180975"/>
        </a:xfrm>
        <a:prstGeom prst="rect">
          <a:avLst/>
        </a:prstGeom>
      </xdr:spPr>
    </xdr:pic>
    <xdr:clientData/>
  </xdr:oneCellAnchor>
  <xdr:oneCellAnchor>
    <xdr:from>
      <xdr:col>10</xdr:col>
      <xdr:colOff>76200</xdr:colOff>
      <xdr:row>31</xdr:row>
      <xdr:rowOff>266700</xdr:rowOff>
    </xdr:from>
    <xdr:ext cx="685800" cy="180975"/>
    <xdr:pic>
      <xdr:nvPicPr>
        <xdr:cNvPr id="6" name="Imag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63275" y="4991100"/>
          <a:ext cx="685800" cy="180975"/>
        </a:xfrm>
        <a:prstGeom prst="rect">
          <a:avLst/>
        </a:prstGeom>
      </xdr:spPr>
    </xdr:pic>
    <xdr:clientData/>
  </xdr:oneCellAnchor>
  <xdr:oneCellAnchor>
    <xdr:from>
      <xdr:col>10</xdr:col>
      <xdr:colOff>76200</xdr:colOff>
      <xdr:row>31</xdr:row>
      <xdr:rowOff>457200</xdr:rowOff>
    </xdr:from>
    <xdr:ext cx="685800" cy="190500"/>
    <xdr:pic>
      <xdr:nvPicPr>
        <xdr:cNvPr id="7" name="Imag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963275" y="5181600"/>
          <a:ext cx="685800" cy="190500"/>
        </a:xfrm>
        <a:prstGeom prst="rect">
          <a:avLst/>
        </a:prstGeom>
      </xdr:spPr>
    </xdr:pic>
    <xdr:clientData/>
  </xdr:oneCellAnchor>
  <xdr:oneCellAnchor>
    <xdr:from>
      <xdr:col>10</xdr:col>
      <xdr:colOff>609600</xdr:colOff>
      <xdr:row>31</xdr:row>
      <xdr:rowOff>723900</xdr:rowOff>
    </xdr:from>
    <xdr:ext cx="685800" cy="180975"/>
    <xdr:pic>
      <xdr:nvPicPr>
        <xdr:cNvPr id="8" name="Imag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5" y="5448300"/>
          <a:ext cx="685800" cy="180975"/>
        </a:xfrm>
        <a:prstGeom prst="rect">
          <a:avLst/>
        </a:prstGeom>
      </xdr:spPr>
    </xdr:pic>
    <xdr:clientData/>
  </xdr:oneCellAnchor>
  <xdr:oneCellAnchor>
    <xdr:from>
      <xdr:col>10</xdr:col>
      <xdr:colOff>266700</xdr:colOff>
      <xdr:row>33</xdr:row>
      <xdr:rowOff>0</xdr:rowOff>
    </xdr:from>
    <xdr:ext cx="685800" cy="180975"/>
    <xdr:pic>
      <xdr:nvPicPr>
        <xdr:cNvPr id="9" name="Image 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53775" y="5905500"/>
          <a:ext cx="685800" cy="180975"/>
        </a:xfrm>
        <a:prstGeom prst="rect">
          <a:avLst/>
        </a:prstGeom>
      </xdr:spPr>
    </xdr:pic>
    <xdr:clientData/>
  </xdr:oneCellAnchor>
  <xdr:oneCellAnchor>
    <xdr:from>
      <xdr:col>10</xdr:col>
      <xdr:colOff>390525</xdr:colOff>
      <xdr:row>33</xdr:row>
      <xdr:rowOff>0</xdr:rowOff>
    </xdr:from>
    <xdr:ext cx="685800" cy="190500"/>
    <xdr:pic>
      <xdr:nvPicPr>
        <xdr:cNvPr id="10" name="Imag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277600" y="5905500"/>
          <a:ext cx="685800" cy="190500"/>
        </a:xfrm>
        <a:prstGeom prst="rect">
          <a:avLst/>
        </a:prstGeom>
      </xdr:spPr>
    </xdr:pic>
    <xdr:clientData/>
  </xdr:oneCellAnchor>
  <xdr:oneCellAnchor>
    <xdr:from>
      <xdr:col>10</xdr:col>
      <xdr:colOff>66675</xdr:colOff>
      <xdr:row>33</xdr:row>
      <xdr:rowOff>0</xdr:rowOff>
    </xdr:from>
    <xdr:ext cx="685800" cy="180975"/>
    <xdr:pic>
      <xdr:nvPicPr>
        <xdr:cNvPr id="11" name="Image 1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53750" y="5905500"/>
          <a:ext cx="685800" cy="180975"/>
        </a:xfrm>
        <a:prstGeom prst="rect">
          <a:avLst/>
        </a:prstGeom>
      </xdr:spPr>
    </xdr:pic>
    <xdr:clientData/>
  </xdr:oneCellAnchor>
  <xdr:oneCellAnchor>
    <xdr:from>
      <xdr:col>10</xdr:col>
      <xdr:colOff>28575</xdr:colOff>
      <xdr:row>33</xdr:row>
      <xdr:rowOff>0</xdr:rowOff>
    </xdr:from>
    <xdr:ext cx="685800" cy="180975"/>
    <xdr:pic>
      <xdr:nvPicPr>
        <xdr:cNvPr id="12" name="Image 1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15650" y="5905500"/>
          <a:ext cx="685800" cy="180975"/>
        </a:xfrm>
        <a:prstGeom prst="rect">
          <a:avLst/>
        </a:prstGeom>
      </xdr:spPr>
    </xdr:pic>
    <xdr:clientData/>
  </xdr:oneCellAnchor>
  <xdr:oneCellAnchor>
    <xdr:from>
      <xdr:col>10</xdr:col>
      <xdr:colOff>447675</xdr:colOff>
      <xdr:row>33</xdr:row>
      <xdr:rowOff>0</xdr:rowOff>
    </xdr:from>
    <xdr:ext cx="685800" cy="190500"/>
    <xdr:pic>
      <xdr:nvPicPr>
        <xdr:cNvPr id="13" name="Imag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334750" y="5905500"/>
          <a:ext cx="685800" cy="190500"/>
        </a:xfrm>
        <a:prstGeom prst="rect">
          <a:avLst/>
        </a:prstGeom>
      </xdr:spPr>
    </xdr:pic>
    <xdr:clientData/>
  </xdr:oneCellAnchor>
  <xdr:oneCellAnchor>
    <xdr:from>
      <xdr:col>10</xdr:col>
      <xdr:colOff>228601</xdr:colOff>
      <xdr:row>19</xdr:row>
      <xdr:rowOff>66675</xdr:rowOff>
    </xdr:from>
    <xdr:ext cx="1143000" cy="714551"/>
    <xdr:pic>
      <xdr:nvPicPr>
        <xdr:cNvPr id="14" name="Image 1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115676" y="2324100"/>
          <a:ext cx="1143000" cy="714551"/>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10</xdr:col>
      <xdr:colOff>104775</xdr:colOff>
      <xdr:row>28</xdr:row>
      <xdr:rowOff>66675</xdr:rowOff>
    </xdr:from>
    <xdr:ext cx="685800" cy="142875"/>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91850" y="3305175"/>
          <a:ext cx="685800" cy="142875"/>
        </a:xfrm>
        <a:prstGeom prst="rect">
          <a:avLst/>
        </a:prstGeom>
      </xdr:spPr>
    </xdr:pic>
    <xdr:clientData/>
  </xdr:oneCellAnchor>
  <xdr:oneCellAnchor>
    <xdr:from>
      <xdr:col>10</xdr:col>
      <xdr:colOff>76200</xdr:colOff>
      <xdr:row>28</xdr:row>
      <xdr:rowOff>581025</xdr:rowOff>
    </xdr:from>
    <xdr:ext cx="695325" cy="180975"/>
    <xdr:pic>
      <xdr:nvPicPr>
        <xdr:cNvPr id="3" name="Imag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963275" y="3819525"/>
          <a:ext cx="695325" cy="180975"/>
        </a:xfrm>
        <a:prstGeom prst="rect">
          <a:avLst/>
        </a:prstGeom>
      </xdr:spPr>
    </xdr:pic>
    <xdr:clientData/>
  </xdr:oneCellAnchor>
  <xdr:oneCellAnchor>
    <xdr:from>
      <xdr:col>10</xdr:col>
      <xdr:colOff>76200</xdr:colOff>
      <xdr:row>30</xdr:row>
      <xdr:rowOff>76200</xdr:rowOff>
    </xdr:from>
    <xdr:ext cx="676275" cy="180975"/>
    <xdr:pic>
      <xdr:nvPicPr>
        <xdr:cNvPr id="4" name="Imag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963275" y="4610100"/>
          <a:ext cx="676275" cy="180975"/>
        </a:xfrm>
        <a:prstGeom prst="rect">
          <a:avLst/>
        </a:prstGeom>
      </xdr:spPr>
    </xdr:pic>
    <xdr:clientData/>
  </xdr:oneCellAnchor>
  <xdr:oneCellAnchor>
    <xdr:from>
      <xdr:col>10</xdr:col>
      <xdr:colOff>76200</xdr:colOff>
      <xdr:row>31</xdr:row>
      <xdr:rowOff>76200</xdr:rowOff>
    </xdr:from>
    <xdr:ext cx="685800" cy="180975"/>
    <xdr:pic>
      <xdr:nvPicPr>
        <xdr:cNvPr id="5" name="Imag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63275" y="4800600"/>
          <a:ext cx="685800" cy="180975"/>
        </a:xfrm>
        <a:prstGeom prst="rect">
          <a:avLst/>
        </a:prstGeom>
      </xdr:spPr>
    </xdr:pic>
    <xdr:clientData/>
  </xdr:oneCellAnchor>
  <xdr:oneCellAnchor>
    <xdr:from>
      <xdr:col>10</xdr:col>
      <xdr:colOff>76200</xdr:colOff>
      <xdr:row>31</xdr:row>
      <xdr:rowOff>266700</xdr:rowOff>
    </xdr:from>
    <xdr:ext cx="685800" cy="180975"/>
    <xdr:pic>
      <xdr:nvPicPr>
        <xdr:cNvPr id="6" name="Imag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63275" y="4991100"/>
          <a:ext cx="685800" cy="180975"/>
        </a:xfrm>
        <a:prstGeom prst="rect">
          <a:avLst/>
        </a:prstGeom>
      </xdr:spPr>
    </xdr:pic>
    <xdr:clientData/>
  </xdr:oneCellAnchor>
  <xdr:oneCellAnchor>
    <xdr:from>
      <xdr:col>10</xdr:col>
      <xdr:colOff>76200</xdr:colOff>
      <xdr:row>31</xdr:row>
      <xdr:rowOff>457200</xdr:rowOff>
    </xdr:from>
    <xdr:ext cx="685800" cy="190500"/>
    <xdr:pic>
      <xdr:nvPicPr>
        <xdr:cNvPr id="7" name="Imag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963275" y="5181600"/>
          <a:ext cx="685800" cy="190500"/>
        </a:xfrm>
        <a:prstGeom prst="rect">
          <a:avLst/>
        </a:prstGeom>
      </xdr:spPr>
    </xdr:pic>
    <xdr:clientData/>
  </xdr:oneCellAnchor>
  <xdr:oneCellAnchor>
    <xdr:from>
      <xdr:col>10</xdr:col>
      <xdr:colOff>609600</xdr:colOff>
      <xdr:row>31</xdr:row>
      <xdr:rowOff>723900</xdr:rowOff>
    </xdr:from>
    <xdr:ext cx="685800" cy="180975"/>
    <xdr:pic>
      <xdr:nvPicPr>
        <xdr:cNvPr id="8" name="Imag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5" y="5448300"/>
          <a:ext cx="685800" cy="180975"/>
        </a:xfrm>
        <a:prstGeom prst="rect">
          <a:avLst/>
        </a:prstGeom>
      </xdr:spPr>
    </xdr:pic>
    <xdr:clientData/>
  </xdr:oneCellAnchor>
  <xdr:oneCellAnchor>
    <xdr:from>
      <xdr:col>10</xdr:col>
      <xdr:colOff>266700</xdr:colOff>
      <xdr:row>33</xdr:row>
      <xdr:rowOff>0</xdr:rowOff>
    </xdr:from>
    <xdr:ext cx="685800" cy="180975"/>
    <xdr:pic>
      <xdr:nvPicPr>
        <xdr:cNvPr id="9" name="Image 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53775" y="5905500"/>
          <a:ext cx="685800" cy="180975"/>
        </a:xfrm>
        <a:prstGeom prst="rect">
          <a:avLst/>
        </a:prstGeom>
      </xdr:spPr>
    </xdr:pic>
    <xdr:clientData/>
  </xdr:oneCellAnchor>
  <xdr:oneCellAnchor>
    <xdr:from>
      <xdr:col>10</xdr:col>
      <xdr:colOff>390525</xdr:colOff>
      <xdr:row>33</xdr:row>
      <xdr:rowOff>0</xdr:rowOff>
    </xdr:from>
    <xdr:ext cx="685800" cy="190500"/>
    <xdr:pic>
      <xdr:nvPicPr>
        <xdr:cNvPr id="10" name="Imag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277600" y="5905500"/>
          <a:ext cx="685800" cy="190500"/>
        </a:xfrm>
        <a:prstGeom prst="rect">
          <a:avLst/>
        </a:prstGeom>
      </xdr:spPr>
    </xdr:pic>
    <xdr:clientData/>
  </xdr:oneCellAnchor>
  <xdr:oneCellAnchor>
    <xdr:from>
      <xdr:col>10</xdr:col>
      <xdr:colOff>66675</xdr:colOff>
      <xdr:row>33</xdr:row>
      <xdr:rowOff>0</xdr:rowOff>
    </xdr:from>
    <xdr:ext cx="685800" cy="180975"/>
    <xdr:pic>
      <xdr:nvPicPr>
        <xdr:cNvPr id="11" name="Image 1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53750" y="5905500"/>
          <a:ext cx="685800" cy="180975"/>
        </a:xfrm>
        <a:prstGeom prst="rect">
          <a:avLst/>
        </a:prstGeom>
      </xdr:spPr>
    </xdr:pic>
    <xdr:clientData/>
  </xdr:oneCellAnchor>
  <xdr:oneCellAnchor>
    <xdr:from>
      <xdr:col>10</xdr:col>
      <xdr:colOff>28575</xdr:colOff>
      <xdr:row>33</xdr:row>
      <xdr:rowOff>0</xdr:rowOff>
    </xdr:from>
    <xdr:ext cx="685800" cy="180975"/>
    <xdr:pic>
      <xdr:nvPicPr>
        <xdr:cNvPr id="12" name="Image 1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15650" y="5905500"/>
          <a:ext cx="685800" cy="180975"/>
        </a:xfrm>
        <a:prstGeom prst="rect">
          <a:avLst/>
        </a:prstGeom>
      </xdr:spPr>
    </xdr:pic>
    <xdr:clientData/>
  </xdr:oneCellAnchor>
  <xdr:oneCellAnchor>
    <xdr:from>
      <xdr:col>10</xdr:col>
      <xdr:colOff>447675</xdr:colOff>
      <xdr:row>33</xdr:row>
      <xdr:rowOff>0</xdr:rowOff>
    </xdr:from>
    <xdr:ext cx="685800" cy="190500"/>
    <xdr:pic>
      <xdr:nvPicPr>
        <xdr:cNvPr id="13" name="Imag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334750" y="5905500"/>
          <a:ext cx="685800" cy="190500"/>
        </a:xfrm>
        <a:prstGeom prst="rect">
          <a:avLst/>
        </a:prstGeom>
      </xdr:spPr>
    </xdr:pic>
    <xdr:clientData/>
  </xdr:oneCellAnchor>
  <xdr:oneCellAnchor>
    <xdr:from>
      <xdr:col>10</xdr:col>
      <xdr:colOff>228601</xdr:colOff>
      <xdr:row>19</xdr:row>
      <xdr:rowOff>66675</xdr:rowOff>
    </xdr:from>
    <xdr:ext cx="1143000" cy="714551"/>
    <xdr:pic>
      <xdr:nvPicPr>
        <xdr:cNvPr id="14" name="Image 1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115676" y="2324100"/>
          <a:ext cx="1143000" cy="714551"/>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10</xdr:col>
      <xdr:colOff>104775</xdr:colOff>
      <xdr:row>28</xdr:row>
      <xdr:rowOff>66675</xdr:rowOff>
    </xdr:from>
    <xdr:ext cx="685800" cy="142875"/>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39350" y="4514850"/>
          <a:ext cx="685800" cy="142875"/>
        </a:xfrm>
        <a:prstGeom prst="rect">
          <a:avLst/>
        </a:prstGeom>
      </xdr:spPr>
    </xdr:pic>
    <xdr:clientData/>
  </xdr:oneCellAnchor>
  <xdr:oneCellAnchor>
    <xdr:from>
      <xdr:col>10</xdr:col>
      <xdr:colOff>76200</xdr:colOff>
      <xdr:row>28</xdr:row>
      <xdr:rowOff>581025</xdr:rowOff>
    </xdr:from>
    <xdr:ext cx="695325" cy="180975"/>
    <xdr:pic>
      <xdr:nvPicPr>
        <xdr:cNvPr id="3" name="Imag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010775" y="5029200"/>
          <a:ext cx="695325" cy="180975"/>
        </a:xfrm>
        <a:prstGeom prst="rect">
          <a:avLst/>
        </a:prstGeom>
      </xdr:spPr>
    </xdr:pic>
    <xdr:clientData/>
  </xdr:oneCellAnchor>
  <xdr:oneCellAnchor>
    <xdr:from>
      <xdr:col>10</xdr:col>
      <xdr:colOff>76200</xdr:colOff>
      <xdr:row>30</xdr:row>
      <xdr:rowOff>76200</xdr:rowOff>
    </xdr:from>
    <xdr:ext cx="676275" cy="180975"/>
    <xdr:pic>
      <xdr:nvPicPr>
        <xdr:cNvPr id="4" name="Imag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010775" y="6210300"/>
          <a:ext cx="676275" cy="180975"/>
        </a:xfrm>
        <a:prstGeom prst="rect">
          <a:avLst/>
        </a:prstGeom>
      </xdr:spPr>
    </xdr:pic>
    <xdr:clientData/>
  </xdr:oneCellAnchor>
  <xdr:oneCellAnchor>
    <xdr:from>
      <xdr:col>10</xdr:col>
      <xdr:colOff>76200</xdr:colOff>
      <xdr:row>31</xdr:row>
      <xdr:rowOff>76200</xdr:rowOff>
    </xdr:from>
    <xdr:ext cx="685800" cy="180975"/>
    <xdr:pic>
      <xdr:nvPicPr>
        <xdr:cNvPr id="5" name="Imag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010775" y="6400800"/>
          <a:ext cx="685800" cy="180975"/>
        </a:xfrm>
        <a:prstGeom prst="rect">
          <a:avLst/>
        </a:prstGeom>
      </xdr:spPr>
    </xdr:pic>
    <xdr:clientData/>
  </xdr:oneCellAnchor>
  <xdr:oneCellAnchor>
    <xdr:from>
      <xdr:col>10</xdr:col>
      <xdr:colOff>76200</xdr:colOff>
      <xdr:row>31</xdr:row>
      <xdr:rowOff>266700</xdr:rowOff>
    </xdr:from>
    <xdr:ext cx="685800" cy="180975"/>
    <xdr:pic>
      <xdr:nvPicPr>
        <xdr:cNvPr id="6" name="Imag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10775" y="6591300"/>
          <a:ext cx="685800" cy="180975"/>
        </a:xfrm>
        <a:prstGeom prst="rect">
          <a:avLst/>
        </a:prstGeom>
      </xdr:spPr>
    </xdr:pic>
    <xdr:clientData/>
  </xdr:oneCellAnchor>
  <xdr:oneCellAnchor>
    <xdr:from>
      <xdr:col>10</xdr:col>
      <xdr:colOff>76200</xdr:colOff>
      <xdr:row>31</xdr:row>
      <xdr:rowOff>457200</xdr:rowOff>
    </xdr:from>
    <xdr:ext cx="685800" cy="190500"/>
    <xdr:pic>
      <xdr:nvPicPr>
        <xdr:cNvPr id="7" name="Imag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010775" y="6781800"/>
          <a:ext cx="685800" cy="190500"/>
        </a:xfrm>
        <a:prstGeom prst="rect">
          <a:avLst/>
        </a:prstGeom>
      </xdr:spPr>
    </xdr:pic>
    <xdr:clientData/>
  </xdr:oneCellAnchor>
  <xdr:oneCellAnchor>
    <xdr:from>
      <xdr:col>10</xdr:col>
      <xdr:colOff>609600</xdr:colOff>
      <xdr:row>31</xdr:row>
      <xdr:rowOff>723900</xdr:rowOff>
    </xdr:from>
    <xdr:ext cx="685800" cy="180975"/>
    <xdr:pic>
      <xdr:nvPicPr>
        <xdr:cNvPr id="8" name="Imag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4175" y="7048500"/>
          <a:ext cx="685800" cy="180975"/>
        </a:xfrm>
        <a:prstGeom prst="rect">
          <a:avLst/>
        </a:prstGeom>
      </xdr:spPr>
    </xdr:pic>
    <xdr:clientData/>
  </xdr:oneCellAnchor>
  <xdr:oneCellAnchor>
    <xdr:from>
      <xdr:col>10</xdr:col>
      <xdr:colOff>266700</xdr:colOff>
      <xdr:row>33</xdr:row>
      <xdr:rowOff>0</xdr:rowOff>
    </xdr:from>
    <xdr:ext cx="685800" cy="180975"/>
    <xdr:pic>
      <xdr:nvPicPr>
        <xdr:cNvPr id="9" name="Image 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201275" y="8020050"/>
          <a:ext cx="685800" cy="180975"/>
        </a:xfrm>
        <a:prstGeom prst="rect">
          <a:avLst/>
        </a:prstGeom>
      </xdr:spPr>
    </xdr:pic>
    <xdr:clientData/>
  </xdr:oneCellAnchor>
  <xdr:oneCellAnchor>
    <xdr:from>
      <xdr:col>10</xdr:col>
      <xdr:colOff>390525</xdr:colOff>
      <xdr:row>33</xdr:row>
      <xdr:rowOff>0</xdr:rowOff>
    </xdr:from>
    <xdr:ext cx="685800" cy="190500"/>
    <xdr:pic>
      <xdr:nvPicPr>
        <xdr:cNvPr id="10" name="Imag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325100" y="8020050"/>
          <a:ext cx="685800" cy="190500"/>
        </a:xfrm>
        <a:prstGeom prst="rect">
          <a:avLst/>
        </a:prstGeom>
      </xdr:spPr>
    </xdr:pic>
    <xdr:clientData/>
  </xdr:oneCellAnchor>
  <xdr:oneCellAnchor>
    <xdr:from>
      <xdr:col>10</xdr:col>
      <xdr:colOff>66675</xdr:colOff>
      <xdr:row>33</xdr:row>
      <xdr:rowOff>0</xdr:rowOff>
    </xdr:from>
    <xdr:ext cx="685800" cy="180975"/>
    <xdr:pic>
      <xdr:nvPicPr>
        <xdr:cNvPr id="11" name="Image 1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001250" y="8020050"/>
          <a:ext cx="685800" cy="180975"/>
        </a:xfrm>
        <a:prstGeom prst="rect">
          <a:avLst/>
        </a:prstGeom>
      </xdr:spPr>
    </xdr:pic>
    <xdr:clientData/>
  </xdr:oneCellAnchor>
  <xdr:oneCellAnchor>
    <xdr:from>
      <xdr:col>10</xdr:col>
      <xdr:colOff>28575</xdr:colOff>
      <xdr:row>33</xdr:row>
      <xdr:rowOff>0</xdr:rowOff>
    </xdr:from>
    <xdr:ext cx="685800" cy="180975"/>
    <xdr:pic>
      <xdr:nvPicPr>
        <xdr:cNvPr id="12" name="Image 1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963150" y="8020050"/>
          <a:ext cx="685800" cy="180975"/>
        </a:xfrm>
        <a:prstGeom prst="rect">
          <a:avLst/>
        </a:prstGeom>
      </xdr:spPr>
    </xdr:pic>
    <xdr:clientData/>
  </xdr:oneCellAnchor>
  <xdr:oneCellAnchor>
    <xdr:from>
      <xdr:col>10</xdr:col>
      <xdr:colOff>447675</xdr:colOff>
      <xdr:row>33</xdr:row>
      <xdr:rowOff>0</xdr:rowOff>
    </xdr:from>
    <xdr:ext cx="685800" cy="190500"/>
    <xdr:pic>
      <xdr:nvPicPr>
        <xdr:cNvPr id="13" name="Imag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382250" y="8020050"/>
          <a:ext cx="685800" cy="190500"/>
        </a:xfrm>
        <a:prstGeom prst="rect">
          <a:avLst/>
        </a:prstGeom>
      </xdr:spPr>
    </xdr:pic>
    <xdr:clientData/>
  </xdr:oneCellAnchor>
  <xdr:oneCellAnchor>
    <xdr:from>
      <xdr:col>10</xdr:col>
      <xdr:colOff>228601</xdr:colOff>
      <xdr:row>19</xdr:row>
      <xdr:rowOff>66675</xdr:rowOff>
    </xdr:from>
    <xdr:ext cx="1143000" cy="714551"/>
    <xdr:pic>
      <xdr:nvPicPr>
        <xdr:cNvPr id="14" name="Image 1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163176" y="3238500"/>
          <a:ext cx="1143000" cy="714551"/>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10</xdr:col>
      <xdr:colOff>104775</xdr:colOff>
      <xdr:row>28</xdr:row>
      <xdr:rowOff>66675</xdr:rowOff>
    </xdr:from>
    <xdr:ext cx="685800" cy="142875"/>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39350" y="4514850"/>
          <a:ext cx="685800" cy="142875"/>
        </a:xfrm>
        <a:prstGeom prst="rect">
          <a:avLst/>
        </a:prstGeom>
      </xdr:spPr>
    </xdr:pic>
    <xdr:clientData/>
  </xdr:oneCellAnchor>
  <xdr:oneCellAnchor>
    <xdr:from>
      <xdr:col>10</xdr:col>
      <xdr:colOff>76200</xdr:colOff>
      <xdr:row>28</xdr:row>
      <xdr:rowOff>581025</xdr:rowOff>
    </xdr:from>
    <xdr:ext cx="695325" cy="180975"/>
    <xdr:pic>
      <xdr:nvPicPr>
        <xdr:cNvPr id="3" name="Imag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010775" y="5029200"/>
          <a:ext cx="695325" cy="180975"/>
        </a:xfrm>
        <a:prstGeom prst="rect">
          <a:avLst/>
        </a:prstGeom>
      </xdr:spPr>
    </xdr:pic>
    <xdr:clientData/>
  </xdr:oneCellAnchor>
  <xdr:oneCellAnchor>
    <xdr:from>
      <xdr:col>10</xdr:col>
      <xdr:colOff>76200</xdr:colOff>
      <xdr:row>30</xdr:row>
      <xdr:rowOff>76200</xdr:rowOff>
    </xdr:from>
    <xdr:ext cx="676275" cy="180975"/>
    <xdr:pic>
      <xdr:nvPicPr>
        <xdr:cNvPr id="4" name="Imag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010775" y="7324725"/>
          <a:ext cx="676275" cy="180975"/>
        </a:xfrm>
        <a:prstGeom prst="rect">
          <a:avLst/>
        </a:prstGeom>
      </xdr:spPr>
    </xdr:pic>
    <xdr:clientData/>
  </xdr:oneCellAnchor>
  <xdr:oneCellAnchor>
    <xdr:from>
      <xdr:col>10</xdr:col>
      <xdr:colOff>76200</xdr:colOff>
      <xdr:row>31</xdr:row>
      <xdr:rowOff>76200</xdr:rowOff>
    </xdr:from>
    <xdr:ext cx="685800" cy="180975"/>
    <xdr:pic>
      <xdr:nvPicPr>
        <xdr:cNvPr id="5" name="Imag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010775" y="7515225"/>
          <a:ext cx="685800" cy="180975"/>
        </a:xfrm>
        <a:prstGeom prst="rect">
          <a:avLst/>
        </a:prstGeom>
      </xdr:spPr>
    </xdr:pic>
    <xdr:clientData/>
  </xdr:oneCellAnchor>
  <xdr:oneCellAnchor>
    <xdr:from>
      <xdr:col>10</xdr:col>
      <xdr:colOff>76200</xdr:colOff>
      <xdr:row>31</xdr:row>
      <xdr:rowOff>266700</xdr:rowOff>
    </xdr:from>
    <xdr:ext cx="685800" cy="180975"/>
    <xdr:pic>
      <xdr:nvPicPr>
        <xdr:cNvPr id="6" name="Imag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10775" y="7705725"/>
          <a:ext cx="685800" cy="180975"/>
        </a:xfrm>
        <a:prstGeom prst="rect">
          <a:avLst/>
        </a:prstGeom>
      </xdr:spPr>
    </xdr:pic>
    <xdr:clientData/>
  </xdr:oneCellAnchor>
  <xdr:oneCellAnchor>
    <xdr:from>
      <xdr:col>10</xdr:col>
      <xdr:colOff>76200</xdr:colOff>
      <xdr:row>31</xdr:row>
      <xdr:rowOff>457200</xdr:rowOff>
    </xdr:from>
    <xdr:ext cx="685800" cy="190500"/>
    <xdr:pic>
      <xdr:nvPicPr>
        <xdr:cNvPr id="7" name="Imag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010775" y="7896225"/>
          <a:ext cx="685800" cy="190500"/>
        </a:xfrm>
        <a:prstGeom prst="rect">
          <a:avLst/>
        </a:prstGeom>
      </xdr:spPr>
    </xdr:pic>
    <xdr:clientData/>
  </xdr:oneCellAnchor>
  <xdr:oneCellAnchor>
    <xdr:from>
      <xdr:col>10</xdr:col>
      <xdr:colOff>609600</xdr:colOff>
      <xdr:row>31</xdr:row>
      <xdr:rowOff>723900</xdr:rowOff>
    </xdr:from>
    <xdr:ext cx="685800" cy="180975"/>
    <xdr:pic>
      <xdr:nvPicPr>
        <xdr:cNvPr id="8" name="Imag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4175" y="8162925"/>
          <a:ext cx="685800" cy="180975"/>
        </a:xfrm>
        <a:prstGeom prst="rect">
          <a:avLst/>
        </a:prstGeom>
      </xdr:spPr>
    </xdr:pic>
    <xdr:clientData/>
  </xdr:oneCellAnchor>
  <xdr:oneCellAnchor>
    <xdr:from>
      <xdr:col>10</xdr:col>
      <xdr:colOff>266700</xdr:colOff>
      <xdr:row>33</xdr:row>
      <xdr:rowOff>0</xdr:rowOff>
    </xdr:from>
    <xdr:ext cx="685800" cy="180975"/>
    <xdr:pic>
      <xdr:nvPicPr>
        <xdr:cNvPr id="9" name="Image 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201275" y="9134475"/>
          <a:ext cx="685800" cy="180975"/>
        </a:xfrm>
        <a:prstGeom prst="rect">
          <a:avLst/>
        </a:prstGeom>
      </xdr:spPr>
    </xdr:pic>
    <xdr:clientData/>
  </xdr:oneCellAnchor>
  <xdr:oneCellAnchor>
    <xdr:from>
      <xdr:col>10</xdr:col>
      <xdr:colOff>390525</xdr:colOff>
      <xdr:row>33</xdr:row>
      <xdr:rowOff>0</xdr:rowOff>
    </xdr:from>
    <xdr:ext cx="685800" cy="190500"/>
    <xdr:pic>
      <xdr:nvPicPr>
        <xdr:cNvPr id="10" name="Imag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325100" y="9134475"/>
          <a:ext cx="685800" cy="190500"/>
        </a:xfrm>
        <a:prstGeom prst="rect">
          <a:avLst/>
        </a:prstGeom>
      </xdr:spPr>
    </xdr:pic>
    <xdr:clientData/>
  </xdr:oneCellAnchor>
  <xdr:oneCellAnchor>
    <xdr:from>
      <xdr:col>10</xdr:col>
      <xdr:colOff>66675</xdr:colOff>
      <xdr:row>33</xdr:row>
      <xdr:rowOff>0</xdr:rowOff>
    </xdr:from>
    <xdr:ext cx="685800" cy="180975"/>
    <xdr:pic>
      <xdr:nvPicPr>
        <xdr:cNvPr id="11" name="Image 1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001250" y="9134475"/>
          <a:ext cx="685800" cy="180975"/>
        </a:xfrm>
        <a:prstGeom prst="rect">
          <a:avLst/>
        </a:prstGeom>
      </xdr:spPr>
    </xdr:pic>
    <xdr:clientData/>
  </xdr:oneCellAnchor>
  <xdr:oneCellAnchor>
    <xdr:from>
      <xdr:col>10</xdr:col>
      <xdr:colOff>28575</xdr:colOff>
      <xdr:row>33</xdr:row>
      <xdr:rowOff>0</xdr:rowOff>
    </xdr:from>
    <xdr:ext cx="685800" cy="180975"/>
    <xdr:pic>
      <xdr:nvPicPr>
        <xdr:cNvPr id="12" name="Image 1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963150" y="9134475"/>
          <a:ext cx="685800" cy="180975"/>
        </a:xfrm>
        <a:prstGeom prst="rect">
          <a:avLst/>
        </a:prstGeom>
      </xdr:spPr>
    </xdr:pic>
    <xdr:clientData/>
  </xdr:oneCellAnchor>
  <xdr:oneCellAnchor>
    <xdr:from>
      <xdr:col>10</xdr:col>
      <xdr:colOff>447675</xdr:colOff>
      <xdr:row>33</xdr:row>
      <xdr:rowOff>0</xdr:rowOff>
    </xdr:from>
    <xdr:ext cx="685800" cy="190500"/>
    <xdr:pic>
      <xdr:nvPicPr>
        <xdr:cNvPr id="13" name="Imag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382250" y="9134475"/>
          <a:ext cx="685800" cy="190500"/>
        </a:xfrm>
        <a:prstGeom prst="rect">
          <a:avLst/>
        </a:prstGeom>
      </xdr:spPr>
    </xdr:pic>
    <xdr:clientData/>
  </xdr:oneCellAnchor>
  <xdr:oneCellAnchor>
    <xdr:from>
      <xdr:col>10</xdr:col>
      <xdr:colOff>228601</xdr:colOff>
      <xdr:row>19</xdr:row>
      <xdr:rowOff>66675</xdr:rowOff>
    </xdr:from>
    <xdr:ext cx="1143000" cy="714551"/>
    <xdr:pic>
      <xdr:nvPicPr>
        <xdr:cNvPr id="14" name="Image 1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163176" y="3238500"/>
          <a:ext cx="1143000" cy="714551"/>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10</xdr:col>
      <xdr:colOff>104775</xdr:colOff>
      <xdr:row>28</xdr:row>
      <xdr:rowOff>66675</xdr:rowOff>
    </xdr:from>
    <xdr:ext cx="685800" cy="142875"/>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91850" y="3219450"/>
          <a:ext cx="685800" cy="142875"/>
        </a:xfrm>
        <a:prstGeom prst="rect">
          <a:avLst/>
        </a:prstGeom>
      </xdr:spPr>
    </xdr:pic>
    <xdr:clientData/>
  </xdr:oneCellAnchor>
  <xdr:oneCellAnchor>
    <xdr:from>
      <xdr:col>10</xdr:col>
      <xdr:colOff>76200</xdr:colOff>
      <xdr:row>28</xdr:row>
      <xdr:rowOff>581025</xdr:rowOff>
    </xdr:from>
    <xdr:ext cx="695325" cy="180975"/>
    <xdr:pic>
      <xdr:nvPicPr>
        <xdr:cNvPr id="3" name="Imag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963275" y="3733800"/>
          <a:ext cx="695325" cy="180975"/>
        </a:xfrm>
        <a:prstGeom prst="rect">
          <a:avLst/>
        </a:prstGeom>
      </xdr:spPr>
    </xdr:pic>
    <xdr:clientData/>
  </xdr:oneCellAnchor>
  <xdr:oneCellAnchor>
    <xdr:from>
      <xdr:col>10</xdr:col>
      <xdr:colOff>76200</xdr:colOff>
      <xdr:row>30</xdr:row>
      <xdr:rowOff>76200</xdr:rowOff>
    </xdr:from>
    <xdr:ext cx="676275" cy="180975"/>
    <xdr:pic>
      <xdr:nvPicPr>
        <xdr:cNvPr id="4" name="Imag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963275" y="4695825"/>
          <a:ext cx="676275" cy="180975"/>
        </a:xfrm>
        <a:prstGeom prst="rect">
          <a:avLst/>
        </a:prstGeom>
      </xdr:spPr>
    </xdr:pic>
    <xdr:clientData/>
  </xdr:oneCellAnchor>
  <xdr:oneCellAnchor>
    <xdr:from>
      <xdr:col>10</xdr:col>
      <xdr:colOff>76200</xdr:colOff>
      <xdr:row>31</xdr:row>
      <xdr:rowOff>76200</xdr:rowOff>
    </xdr:from>
    <xdr:ext cx="685800" cy="180975"/>
    <xdr:pic>
      <xdr:nvPicPr>
        <xdr:cNvPr id="5" name="Imag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63275" y="4886325"/>
          <a:ext cx="685800" cy="180975"/>
        </a:xfrm>
        <a:prstGeom prst="rect">
          <a:avLst/>
        </a:prstGeom>
      </xdr:spPr>
    </xdr:pic>
    <xdr:clientData/>
  </xdr:oneCellAnchor>
  <xdr:oneCellAnchor>
    <xdr:from>
      <xdr:col>10</xdr:col>
      <xdr:colOff>76200</xdr:colOff>
      <xdr:row>31</xdr:row>
      <xdr:rowOff>266700</xdr:rowOff>
    </xdr:from>
    <xdr:ext cx="685800" cy="180975"/>
    <xdr:pic>
      <xdr:nvPicPr>
        <xdr:cNvPr id="6" name="Imag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63275" y="5076825"/>
          <a:ext cx="685800" cy="180975"/>
        </a:xfrm>
        <a:prstGeom prst="rect">
          <a:avLst/>
        </a:prstGeom>
      </xdr:spPr>
    </xdr:pic>
    <xdr:clientData/>
  </xdr:oneCellAnchor>
  <xdr:oneCellAnchor>
    <xdr:from>
      <xdr:col>10</xdr:col>
      <xdr:colOff>76200</xdr:colOff>
      <xdr:row>31</xdr:row>
      <xdr:rowOff>457200</xdr:rowOff>
    </xdr:from>
    <xdr:ext cx="685800" cy="190500"/>
    <xdr:pic>
      <xdr:nvPicPr>
        <xdr:cNvPr id="7" name="Imag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963275" y="5267325"/>
          <a:ext cx="685800" cy="190500"/>
        </a:xfrm>
        <a:prstGeom prst="rect">
          <a:avLst/>
        </a:prstGeom>
      </xdr:spPr>
    </xdr:pic>
    <xdr:clientData/>
  </xdr:oneCellAnchor>
  <xdr:oneCellAnchor>
    <xdr:from>
      <xdr:col>10</xdr:col>
      <xdr:colOff>609600</xdr:colOff>
      <xdr:row>31</xdr:row>
      <xdr:rowOff>723900</xdr:rowOff>
    </xdr:from>
    <xdr:ext cx="685800" cy="180975"/>
    <xdr:pic>
      <xdr:nvPicPr>
        <xdr:cNvPr id="8" name="Imag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5" y="5534025"/>
          <a:ext cx="685800" cy="180975"/>
        </a:xfrm>
        <a:prstGeom prst="rect">
          <a:avLst/>
        </a:prstGeom>
      </xdr:spPr>
    </xdr:pic>
    <xdr:clientData/>
  </xdr:oneCellAnchor>
  <xdr:oneCellAnchor>
    <xdr:from>
      <xdr:col>10</xdr:col>
      <xdr:colOff>266700</xdr:colOff>
      <xdr:row>33</xdr:row>
      <xdr:rowOff>0</xdr:rowOff>
    </xdr:from>
    <xdr:ext cx="685800" cy="180975"/>
    <xdr:pic>
      <xdr:nvPicPr>
        <xdr:cNvPr id="9" name="Image 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53775" y="6115050"/>
          <a:ext cx="685800" cy="180975"/>
        </a:xfrm>
        <a:prstGeom prst="rect">
          <a:avLst/>
        </a:prstGeom>
      </xdr:spPr>
    </xdr:pic>
    <xdr:clientData/>
  </xdr:oneCellAnchor>
  <xdr:oneCellAnchor>
    <xdr:from>
      <xdr:col>10</xdr:col>
      <xdr:colOff>390525</xdr:colOff>
      <xdr:row>33</xdr:row>
      <xdr:rowOff>0</xdr:rowOff>
    </xdr:from>
    <xdr:ext cx="685800" cy="190500"/>
    <xdr:pic>
      <xdr:nvPicPr>
        <xdr:cNvPr id="10" name="Imag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277600" y="6115050"/>
          <a:ext cx="685800" cy="190500"/>
        </a:xfrm>
        <a:prstGeom prst="rect">
          <a:avLst/>
        </a:prstGeom>
      </xdr:spPr>
    </xdr:pic>
    <xdr:clientData/>
  </xdr:oneCellAnchor>
  <xdr:oneCellAnchor>
    <xdr:from>
      <xdr:col>10</xdr:col>
      <xdr:colOff>66675</xdr:colOff>
      <xdr:row>33</xdr:row>
      <xdr:rowOff>0</xdr:rowOff>
    </xdr:from>
    <xdr:ext cx="685800" cy="180975"/>
    <xdr:pic>
      <xdr:nvPicPr>
        <xdr:cNvPr id="11" name="Image 1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53750" y="6115050"/>
          <a:ext cx="685800" cy="180975"/>
        </a:xfrm>
        <a:prstGeom prst="rect">
          <a:avLst/>
        </a:prstGeom>
      </xdr:spPr>
    </xdr:pic>
    <xdr:clientData/>
  </xdr:oneCellAnchor>
  <xdr:oneCellAnchor>
    <xdr:from>
      <xdr:col>10</xdr:col>
      <xdr:colOff>28575</xdr:colOff>
      <xdr:row>33</xdr:row>
      <xdr:rowOff>0</xdr:rowOff>
    </xdr:from>
    <xdr:ext cx="685800" cy="180975"/>
    <xdr:pic>
      <xdr:nvPicPr>
        <xdr:cNvPr id="12" name="Image 1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15650" y="6115050"/>
          <a:ext cx="685800" cy="180975"/>
        </a:xfrm>
        <a:prstGeom prst="rect">
          <a:avLst/>
        </a:prstGeom>
      </xdr:spPr>
    </xdr:pic>
    <xdr:clientData/>
  </xdr:oneCellAnchor>
  <xdr:oneCellAnchor>
    <xdr:from>
      <xdr:col>10</xdr:col>
      <xdr:colOff>447675</xdr:colOff>
      <xdr:row>33</xdr:row>
      <xdr:rowOff>0</xdr:rowOff>
    </xdr:from>
    <xdr:ext cx="685800" cy="190500"/>
    <xdr:pic>
      <xdr:nvPicPr>
        <xdr:cNvPr id="13" name="Imag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334750" y="6115050"/>
          <a:ext cx="685800" cy="190500"/>
        </a:xfrm>
        <a:prstGeom prst="rect">
          <a:avLst/>
        </a:prstGeom>
      </xdr:spPr>
    </xdr:pic>
    <xdr:clientData/>
  </xdr:oneCellAnchor>
  <xdr:oneCellAnchor>
    <xdr:from>
      <xdr:col>10</xdr:col>
      <xdr:colOff>228601</xdr:colOff>
      <xdr:row>19</xdr:row>
      <xdr:rowOff>66675</xdr:rowOff>
    </xdr:from>
    <xdr:ext cx="1143000" cy="714551"/>
    <xdr:pic>
      <xdr:nvPicPr>
        <xdr:cNvPr id="14" name="Image 1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115676" y="2266950"/>
          <a:ext cx="1143000" cy="714551"/>
        </a:xfrm>
        <a:prstGeom prst="rect">
          <a:avLst/>
        </a:prstGeom>
      </xdr:spPr>
    </xdr:pic>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U32"/>
  <sheetViews>
    <sheetView showGridLines="0" topLeftCell="A3" workbookViewId="0">
      <selection activeCell="A3" sqref="A3"/>
    </sheetView>
  </sheetViews>
  <sheetFormatPr baseColWidth="10" defaultRowHeight="15" x14ac:dyDescent="0.25"/>
  <cols>
    <col min="1" max="1" width="3.42578125" customWidth="1"/>
    <col min="2" max="2" width="7" customWidth="1"/>
    <col min="3" max="3" width="3.7109375" style="14" customWidth="1"/>
    <col min="4" max="4" width="14.28515625" style="14" customWidth="1"/>
    <col min="5" max="5" width="6.140625" customWidth="1"/>
    <col min="6" max="6" width="11.42578125" customWidth="1"/>
    <col min="8" max="8" width="5.28515625" customWidth="1"/>
    <col min="11" max="11" width="5.28515625" customWidth="1"/>
    <col min="14" max="14" width="5.28515625" customWidth="1"/>
    <col min="17" max="17" width="5.28515625" customWidth="1"/>
    <col min="20" max="20" width="4.42578125" customWidth="1"/>
    <col min="21" max="21" width="3.7109375" bestFit="1" customWidth="1"/>
  </cols>
  <sheetData>
    <row r="1" spans="2:21" ht="6" customHeight="1" thickBot="1" x14ac:dyDescent="0.3"/>
    <row r="2" spans="2:21" ht="19.5" thickBot="1" x14ac:dyDescent="0.35">
      <c r="C2" s="79" t="s">
        <v>61</v>
      </c>
      <c r="D2" s="80"/>
      <c r="E2" s="80"/>
      <c r="F2" s="80"/>
      <c r="G2" s="80"/>
      <c r="H2" s="80"/>
      <c r="I2" s="80"/>
      <c r="J2" s="80"/>
      <c r="K2" s="80"/>
      <c r="L2" s="80"/>
      <c r="M2" s="80"/>
      <c r="N2" s="80"/>
      <c r="O2" s="80"/>
      <c r="P2" s="80"/>
      <c r="Q2" s="80"/>
      <c r="R2" s="80"/>
      <c r="S2" s="81"/>
    </row>
    <row r="3" spans="2:21" ht="15" customHeight="1" thickBot="1" x14ac:dyDescent="0.3"/>
    <row r="4" spans="2:21" ht="20.25" thickTop="1" thickBot="1" x14ac:dyDescent="0.3">
      <c r="C4" s="15"/>
      <c r="D4" s="15"/>
      <c r="E4" s="1"/>
      <c r="F4" s="108" t="s">
        <v>47</v>
      </c>
      <c r="G4" s="109"/>
      <c r="H4" s="109"/>
      <c r="I4" s="109"/>
      <c r="J4" s="109"/>
      <c r="K4" s="109"/>
      <c r="L4" s="110"/>
      <c r="M4" s="108" t="s">
        <v>48</v>
      </c>
      <c r="N4" s="109"/>
      <c r="O4" s="109"/>
      <c r="P4" s="109"/>
      <c r="Q4" s="109"/>
      <c r="R4" s="109"/>
      <c r="S4" s="110"/>
    </row>
    <row r="5" spans="2:21" ht="20.25" customHeight="1" thickTop="1" x14ac:dyDescent="0.25">
      <c r="C5" s="15"/>
      <c r="D5" s="15"/>
      <c r="E5" s="1"/>
      <c r="F5" s="3"/>
      <c r="G5" s="3"/>
      <c r="H5" s="3"/>
      <c r="I5" s="3"/>
      <c r="J5" s="3"/>
      <c r="K5" s="3"/>
      <c r="L5" s="3"/>
      <c r="M5" s="3"/>
      <c r="N5" s="3"/>
      <c r="O5" s="3"/>
      <c r="P5" s="3"/>
      <c r="Q5" s="3"/>
      <c r="R5" s="3"/>
      <c r="S5" s="3"/>
    </row>
    <row r="6" spans="2:21" ht="15" customHeight="1" x14ac:dyDescent="0.25">
      <c r="B6" s="6"/>
      <c r="C6" s="90" t="s">
        <v>53</v>
      </c>
      <c r="D6" s="90"/>
      <c r="E6" s="1"/>
      <c r="F6" s="106" t="s">
        <v>8</v>
      </c>
      <c r="G6" s="107"/>
      <c r="H6" s="3"/>
      <c r="I6" s="1"/>
      <c r="J6" s="1"/>
      <c r="K6" s="3"/>
      <c r="L6" s="106" t="s">
        <v>7</v>
      </c>
      <c r="M6" s="107"/>
      <c r="N6" s="3"/>
      <c r="O6" s="1"/>
      <c r="P6" s="1"/>
      <c r="Q6" s="3"/>
      <c r="R6" s="106" t="s">
        <v>9</v>
      </c>
      <c r="S6" s="107"/>
    </row>
    <row r="7" spans="2:21" x14ac:dyDescent="0.25">
      <c r="B7" s="6"/>
      <c r="C7" s="90"/>
      <c r="D7" s="90"/>
      <c r="E7" s="1"/>
      <c r="F7" s="112" t="s">
        <v>19</v>
      </c>
      <c r="G7" s="113"/>
      <c r="H7" s="1"/>
      <c r="I7" s="111" t="s">
        <v>11</v>
      </c>
      <c r="J7" s="111"/>
      <c r="K7" s="1"/>
      <c r="L7" s="112" t="s">
        <v>20</v>
      </c>
      <c r="M7" s="113"/>
      <c r="N7" s="1"/>
      <c r="O7" s="111" t="s">
        <v>14</v>
      </c>
      <c r="P7" s="111"/>
      <c r="Q7" s="1"/>
      <c r="R7" s="112" t="s">
        <v>24</v>
      </c>
      <c r="S7" s="113"/>
      <c r="U7" s="20"/>
    </row>
    <row r="8" spans="2:21" x14ac:dyDescent="0.25">
      <c r="B8" s="6"/>
      <c r="C8" s="90"/>
      <c r="D8" s="90"/>
      <c r="E8" s="1"/>
      <c r="F8" s="7" t="s">
        <v>29</v>
      </c>
      <c r="G8" s="8" t="s">
        <v>6</v>
      </c>
      <c r="H8" s="1"/>
      <c r="I8" s="9"/>
      <c r="J8" s="9"/>
      <c r="K8" s="1"/>
      <c r="L8" s="7" t="s">
        <v>10</v>
      </c>
      <c r="M8" s="8" t="s">
        <v>6</v>
      </c>
      <c r="N8" s="1"/>
      <c r="O8" s="9"/>
      <c r="P8" s="9"/>
      <c r="Q8" s="1"/>
      <c r="R8" s="7" t="s">
        <v>10</v>
      </c>
      <c r="S8" s="8" t="s">
        <v>6</v>
      </c>
      <c r="U8" s="20"/>
    </row>
    <row r="9" spans="2:21" ht="12" customHeight="1" x14ac:dyDescent="0.25">
      <c r="B9" s="6"/>
      <c r="C9" s="6"/>
      <c r="D9" s="6"/>
      <c r="E9" s="6"/>
      <c r="F9" s="6"/>
      <c r="G9" s="6"/>
      <c r="H9" s="6"/>
      <c r="I9" s="6"/>
      <c r="J9" s="6"/>
      <c r="K9" s="6"/>
      <c r="L9" s="6"/>
      <c r="M9" s="6"/>
      <c r="N9" s="6"/>
      <c r="O9" s="6"/>
      <c r="P9" s="6"/>
      <c r="Q9" s="6"/>
      <c r="R9" s="6"/>
      <c r="S9" s="6"/>
      <c r="U9" s="20"/>
    </row>
    <row r="10" spans="2:21" ht="12" customHeight="1" x14ac:dyDescent="0.25">
      <c r="B10" s="97" t="s">
        <v>55</v>
      </c>
      <c r="C10" s="38"/>
      <c r="D10" s="38"/>
      <c r="E10" s="39"/>
      <c r="F10" s="39"/>
      <c r="G10" s="39"/>
      <c r="H10" s="39"/>
      <c r="I10" s="40"/>
      <c r="J10" s="40"/>
      <c r="K10" s="39"/>
      <c r="L10" s="39"/>
      <c r="M10" s="39"/>
      <c r="N10" s="39"/>
      <c r="O10" s="40"/>
      <c r="P10" s="40"/>
      <c r="Q10" s="39"/>
      <c r="R10" s="39"/>
      <c r="S10" s="39"/>
      <c r="U10" s="20"/>
    </row>
    <row r="11" spans="2:21" x14ac:dyDescent="0.25">
      <c r="B11" s="97"/>
      <c r="C11" s="83" t="s">
        <v>62</v>
      </c>
      <c r="D11" s="98" t="s">
        <v>49</v>
      </c>
      <c r="E11" s="1"/>
      <c r="F11" s="94" t="s">
        <v>13</v>
      </c>
      <c r="G11" s="95"/>
      <c r="H11" s="1"/>
      <c r="I11" s="91" t="s">
        <v>15</v>
      </c>
      <c r="J11" s="91"/>
      <c r="K11" s="1"/>
      <c r="L11" s="94" t="s">
        <v>18</v>
      </c>
      <c r="M11" s="95"/>
      <c r="N11" s="1"/>
      <c r="O11" s="91" t="s">
        <v>21</v>
      </c>
      <c r="P11" s="91"/>
      <c r="Q11" s="1"/>
      <c r="R11" s="94" t="s">
        <v>22</v>
      </c>
      <c r="S11" s="95"/>
      <c r="U11" s="78" t="s">
        <v>60</v>
      </c>
    </row>
    <row r="12" spans="2:21" x14ac:dyDescent="0.25">
      <c r="B12" s="97"/>
      <c r="C12" s="83"/>
      <c r="D12" s="98"/>
      <c r="E12" s="1"/>
      <c r="F12" s="4" t="s">
        <v>12</v>
      </c>
      <c r="G12" s="5" t="s">
        <v>17</v>
      </c>
      <c r="H12" s="1"/>
      <c r="I12" s="91"/>
      <c r="J12" s="91"/>
      <c r="K12" s="1"/>
      <c r="L12" s="4" t="s">
        <v>36</v>
      </c>
      <c r="M12" s="5" t="s">
        <v>16</v>
      </c>
      <c r="N12" s="1"/>
      <c r="O12" s="91"/>
      <c r="P12" s="91"/>
      <c r="Q12" s="1"/>
      <c r="R12" s="4" t="s">
        <v>31</v>
      </c>
      <c r="S12" s="5" t="s">
        <v>30</v>
      </c>
      <c r="U12" s="78"/>
    </row>
    <row r="13" spans="2:21" x14ac:dyDescent="0.25">
      <c r="B13" s="97"/>
      <c r="C13" s="16"/>
      <c r="D13" s="16"/>
      <c r="E13" s="1"/>
      <c r="F13" s="1"/>
      <c r="G13" s="1"/>
      <c r="H13" s="1"/>
      <c r="I13" s="10"/>
      <c r="J13" s="10"/>
      <c r="K13" s="1"/>
      <c r="L13" s="1"/>
      <c r="M13" s="1"/>
      <c r="N13" s="1"/>
      <c r="O13" s="10"/>
      <c r="P13" s="10"/>
      <c r="Q13" s="1"/>
      <c r="R13" s="1"/>
      <c r="S13" s="1"/>
      <c r="U13" s="78"/>
    </row>
    <row r="14" spans="2:21" x14ac:dyDescent="0.25">
      <c r="B14" s="97"/>
      <c r="C14" s="84" t="s">
        <v>63</v>
      </c>
      <c r="D14" s="99" t="s">
        <v>50</v>
      </c>
      <c r="E14" s="1"/>
      <c r="F14" s="94" t="s">
        <v>13</v>
      </c>
      <c r="G14" s="95"/>
      <c r="H14" s="1"/>
      <c r="I14" s="91" t="s">
        <v>58</v>
      </c>
      <c r="J14" s="91"/>
      <c r="K14" s="1"/>
      <c r="L14" s="94" t="s">
        <v>23</v>
      </c>
      <c r="M14" s="95"/>
      <c r="N14" s="1"/>
      <c r="O14" s="91" t="s">
        <v>21</v>
      </c>
      <c r="P14" s="91"/>
      <c r="Q14" s="1"/>
      <c r="R14" s="94" t="s">
        <v>22</v>
      </c>
      <c r="S14" s="95"/>
      <c r="U14" s="78"/>
    </row>
    <row r="15" spans="2:21" x14ac:dyDescent="0.25">
      <c r="B15" s="97"/>
      <c r="C15" s="84"/>
      <c r="D15" s="99"/>
      <c r="E15" s="1"/>
      <c r="F15" s="4" t="s">
        <v>57</v>
      </c>
      <c r="G15" s="5" t="s">
        <v>40</v>
      </c>
      <c r="H15" s="1"/>
      <c r="I15" s="91"/>
      <c r="J15" s="91"/>
      <c r="K15" s="1"/>
      <c r="L15" s="4" t="s">
        <v>32</v>
      </c>
      <c r="M15" s="5" t="s">
        <v>33</v>
      </c>
      <c r="N15" s="1"/>
      <c r="O15" s="91"/>
      <c r="P15" s="91"/>
      <c r="Q15" s="1"/>
      <c r="R15" s="4" t="s">
        <v>34</v>
      </c>
      <c r="S15" s="5" t="s">
        <v>30</v>
      </c>
      <c r="U15" s="78"/>
    </row>
    <row r="16" spans="2:21" x14ac:dyDescent="0.25">
      <c r="B16" s="97"/>
      <c r="C16" s="19"/>
      <c r="D16" s="19"/>
      <c r="E16" s="1"/>
      <c r="F16" s="1"/>
      <c r="G16" s="1"/>
      <c r="H16" s="1"/>
      <c r="I16" s="10"/>
      <c r="J16" s="10"/>
      <c r="K16" s="1"/>
      <c r="L16" s="1"/>
      <c r="M16" s="1"/>
      <c r="N16" s="1"/>
      <c r="O16" s="10"/>
      <c r="P16" s="10"/>
      <c r="Q16" s="1"/>
      <c r="R16" s="1"/>
      <c r="S16" s="1"/>
      <c r="U16" s="78"/>
    </row>
    <row r="17" spans="2:21" x14ac:dyDescent="0.25">
      <c r="B17" s="97"/>
      <c r="C17" s="85" t="s">
        <v>64</v>
      </c>
      <c r="D17" s="100" t="s">
        <v>51</v>
      </c>
      <c r="E17" s="1"/>
      <c r="F17" s="94" t="s">
        <v>13</v>
      </c>
      <c r="G17" s="95"/>
      <c r="H17" s="1"/>
      <c r="I17" s="91" t="s">
        <v>58</v>
      </c>
      <c r="J17" s="91"/>
      <c r="K17" s="1"/>
      <c r="L17" s="94" t="s">
        <v>23</v>
      </c>
      <c r="M17" s="95"/>
      <c r="N17" s="1"/>
      <c r="O17" s="91" t="s">
        <v>35</v>
      </c>
      <c r="P17" s="91"/>
      <c r="Q17" s="1"/>
      <c r="R17" s="94" t="s">
        <v>22</v>
      </c>
      <c r="S17" s="95"/>
      <c r="U17" s="78"/>
    </row>
    <row r="18" spans="2:21" x14ac:dyDescent="0.25">
      <c r="B18" s="97"/>
      <c r="C18" s="85"/>
      <c r="D18" s="100"/>
      <c r="E18" s="1"/>
      <c r="F18" s="4" t="s">
        <v>57</v>
      </c>
      <c r="G18" s="5" t="s">
        <v>40</v>
      </c>
      <c r="H18" s="1"/>
      <c r="I18" s="91"/>
      <c r="J18" s="91"/>
      <c r="K18" s="1"/>
      <c r="L18" s="4" t="s">
        <v>32</v>
      </c>
      <c r="M18" s="5" t="s">
        <v>33</v>
      </c>
      <c r="N18" s="1"/>
      <c r="O18" s="91"/>
      <c r="P18" s="91"/>
      <c r="Q18" s="1"/>
      <c r="R18" s="4" t="s">
        <v>41</v>
      </c>
      <c r="S18" s="5" t="s">
        <v>42</v>
      </c>
      <c r="U18" s="78"/>
    </row>
    <row r="19" spans="2:21" x14ac:dyDescent="0.25">
      <c r="B19" s="97"/>
      <c r="C19" s="16"/>
      <c r="D19" s="16"/>
      <c r="E19" s="1"/>
      <c r="F19" s="3"/>
      <c r="G19" s="3"/>
      <c r="H19" s="1"/>
      <c r="I19" s="9"/>
      <c r="J19" s="9"/>
      <c r="K19" s="1"/>
      <c r="L19" s="3"/>
      <c r="M19" s="3"/>
      <c r="N19" s="1"/>
      <c r="O19" s="9"/>
      <c r="P19" s="9"/>
      <c r="Q19" s="1"/>
      <c r="R19" s="3"/>
      <c r="S19" s="3"/>
      <c r="U19" s="78"/>
    </row>
    <row r="20" spans="2:21" x14ac:dyDescent="0.25">
      <c r="B20" s="97"/>
      <c r="C20" s="86" t="s">
        <v>65</v>
      </c>
      <c r="D20" s="101" t="s">
        <v>39</v>
      </c>
      <c r="E20" s="1"/>
      <c r="F20" s="94" t="s">
        <v>128</v>
      </c>
      <c r="G20" s="95"/>
      <c r="H20" s="1"/>
      <c r="I20" s="91" t="s">
        <v>59</v>
      </c>
      <c r="J20" s="91"/>
      <c r="K20" s="1"/>
      <c r="L20" s="94" t="s">
        <v>25</v>
      </c>
      <c r="M20" s="95"/>
      <c r="N20" s="1"/>
      <c r="O20" s="91" t="s">
        <v>21</v>
      </c>
      <c r="P20" s="91"/>
      <c r="Q20" s="1"/>
      <c r="R20" s="94" t="s">
        <v>22</v>
      </c>
      <c r="S20" s="95"/>
      <c r="U20" s="78"/>
    </row>
    <row r="21" spans="2:21" x14ac:dyDescent="0.25">
      <c r="B21" s="97"/>
      <c r="C21" s="86"/>
      <c r="D21" s="101"/>
      <c r="E21" s="1"/>
      <c r="F21" s="92" t="s">
        <v>37</v>
      </c>
      <c r="G21" s="93"/>
      <c r="H21" s="1"/>
      <c r="I21" s="91"/>
      <c r="J21" s="91"/>
      <c r="K21" s="1"/>
      <c r="L21" s="4" t="s">
        <v>38</v>
      </c>
      <c r="M21" s="5" t="s">
        <v>39</v>
      </c>
      <c r="N21" s="1"/>
      <c r="O21" s="91"/>
      <c r="P21" s="91"/>
      <c r="Q21" s="1"/>
      <c r="R21" s="92" t="s">
        <v>30</v>
      </c>
      <c r="S21" s="93"/>
      <c r="U21" s="78"/>
    </row>
    <row r="22" spans="2:21" ht="15.75" thickBot="1" x14ac:dyDescent="0.3">
      <c r="B22" s="97"/>
      <c r="C22" s="16"/>
      <c r="D22" s="16"/>
      <c r="E22" s="1"/>
      <c r="F22" s="3"/>
      <c r="G22" s="3"/>
      <c r="H22" s="1"/>
      <c r="I22" s="3"/>
      <c r="J22" s="3"/>
      <c r="K22" s="1"/>
      <c r="L22" s="3"/>
      <c r="M22" s="3"/>
      <c r="N22" s="1"/>
      <c r="O22" s="3"/>
      <c r="P22" s="3"/>
      <c r="Q22" s="1"/>
      <c r="R22" s="3"/>
      <c r="S22" s="3"/>
      <c r="U22" s="78"/>
    </row>
    <row r="23" spans="2:21" x14ac:dyDescent="0.25">
      <c r="B23" s="96" t="s">
        <v>54</v>
      </c>
      <c r="C23" s="17"/>
      <c r="D23" s="17"/>
      <c r="E23" s="13"/>
      <c r="F23" s="13"/>
      <c r="G23" s="13"/>
      <c r="H23" s="13"/>
      <c r="I23" s="13"/>
      <c r="J23" s="13"/>
      <c r="K23" s="13"/>
      <c r="L23" s="13"/>
      <c r="M23" s="13"/>
      <c r="N23" s="13"/>
      <c r="O23" s="13"/>
      <c r="P23" s="13"/>
      <c r="Q23" s="13"/>
      <c r="R23" s="13"/>
      <c r="S23" s="13"/>
      <c r="U23" s="78"/>
    </row>
    <row r="24" spans="2:21" x14ac:dyDescent="0.25">
      <c r="B24" s="96"/>
      <c r="C24" s="87" t="s">
        <v>66</v>
      </c>
      <c r="D24" s="102" t="s">
        <v>56</v>
      </c>
      <c r="E24" s="1"/>
      <c r="F24" s="94" t="s">
        <v>13</v>
      </c>
      <c r="G24" s="95"/>
      <c r="H24" s="1"/>
      <c r="I24" s="91" t="s">
        <v>58</v>
      </c>
      <c r="J24" s="91"/>
      <c r="K24" s="91"/>
      <c r="L24" s="91"/>
      <c r="M24" s="91"/>
      <c r="N24" s="91"/>
      <c r="O24" s="91"/>
      <c r="P24" s="91"/>
      <c r="Q24" s="1"/>
      <c r="R24" s="94" t="s">
        <v>43</v>
      </c>
      <c r="S24" s="95"/>
      <c r="U24" s="78"/>
    </row>
    <row r="25" spans="2:21" x14ac:dyDescent="0.25">
      <c r="B25" s="96"/>
      <c r="C25" s="87"/>
      <c r="D25" s="102"/>
      <c r="E25" s="1"/>
      <c r="F25" s="92" t="s">
        <v>37</v>
      </c>
      <c r="G25" s="93"/>
      <c r="H25" s="1"/>
      <c r="I25" s="91"/>
      <c r="J25" s="91"/>
      <c r="K25" s="91"/>
      <c r="L25" s="91"/>
      <c r="M25" s="91"/>
      <c r="N25" s="91"/>
      <c r="O25" s="91"/>
      <c r="P25" s="91"/>
      <c r="Q25" s="3"/>
      <c r="R25" s="4" t="s">
        <v>56</v>
      </c>
      <c r="S25" s="5" t="s">
        <v>42</v>
      </c>
      <c r="U25" s="78"/>
    </row>
    <row r="26" spans="2:21" x14ac:dyDescent="0.25">
      <c r="B26" s="96"/>
      <c r="C26" s="16"/>
      <c r="D26" s="16"/>
      <c r="E26" s="1"/>
      <c r="F26" s="3"/>
      <c r="G26" s="3"/>
      <c r="H26" s="1"/>
      <c r="I26" s="11"/>
      <c r="J26" s="11"/>
      <c r="K26" s="12"/>
      <c r="L26" s="11"/>
      <c r="M26" s="11"/>
      <c r="N26" s="11"/>
      <c r="O26" s="11"/>
      <c r="P26" s="11"/>
      <c r="Q26" s="3"/>
      <c r="R26" s="3"/>
      <c r="S26" s="3"/>
      <c r="U26" s="78"/>
    </row>
    <row r="27" spans="2:21" x14ac:dyDescent="0.25">
      <c r="B27" s="96"/>
      <c r="C27" s="88" t="s">
        <v>67</v>
      </c>
      <c r="D27" s="103" t="s">
        <v>52</v>
      </c>
      <c r="E27" s="1"/>
      <c r="F27" s="94" t="s">
        <v>13</v>
      </c>
      <c r="G27" s="95"/>
      <c r="H27" s="1"/>
      <c r="I27" s="91" t="s">
        <v>28</v>
      </c>
      <c r="J27" s="91"/>
      <c r="K27" s="91"/>
      <c r="L27" s="91"/>
      <c r="M27" s="91"/>
      <c r="N27" s="91"/>
      <c r="O27" s="91"/>
      <c r="P27" s="91"/>
      <c r="Q27" s="1"/>
      <c r="R27" s="94" t="s">
        <v>27</v>
      </c>
      <c r="S27" s="95"/>
      <c r="U27" s="78"/>
    </row>
    <row r="28" spans="2:21" x14ac:dyDescent="0.25">
      <c r="B28" s="96"/>
      <c r="C28" s="88"/>
      <c r="D28" s="103"/>
      <c r="E28" s="1"/>
      <c r="F28" s="92" t="s">
        <v>37</v>
      </c>
      <c r="G28" s="93"/>
      <c r="H28" s="1"/>
      <c r="I28" s="91"/>
      <c r="J28" s="91"/>
      <c r="K28" s="91"/>
      <c r="L28" s="91"/>
      <c r="M28" s="91"/>
      <c r="N28" s="91"/>
      <c r="O28" s="91"/>
      <c r="P28" s="91"/>
      <c r="Q28" s="1"/>
      <c r="R28" s="92" t="s">
        <v>45</v>
      </c>
      <c r="S28" s="93"/>
      <c r="U28" s="78"/>
    </row>
    <row r="29" spans="2:21" x14ac:dyDescent="0.25">
      <c r="B29" s="96"/>
      <c r="C29" s="16"/>
      <c r="D29" s="16"/>
      <c r="E29" s="1"/>
      <c r="F29" s="1"/>
      <c r="G29" s="1"/>
      <c r="H29" s="1"/>
      <c r="I29" s="1"/>
      <c r="J29" s="1"/>
      <c r="K29" s="1"/>
      <c r="L29" s="1"/>
      <c r="M29" s="1"/>
      <c r="N29" s="1"/>
      <c r="O29" s="1"/>
      <c r="P29" s="1"/>
      <c r="Q29" s="1"/>
      <c r="R29" s="1"/>
      <c r="S29" s="1"/>
      <c r="U29" s="78"/>
    </row>
    <row r="30" spans="2:21" x14ac:dyDescent="0.25">
      <c r="B30" s="96"/>
      <c r="C30" s="89" t="s">
        <v>68</v>
      </c>
      <c r="D30" s="82" t="s">
        <v>27</v>
      </c>
      <c r="E30" s="1"/>
      <c r="F30" s="94" t="s">
        <v>13</v>
      </c>
      <c r="G30" s="95"/>
      <c r="H30" s="1"/>
      <c r="I30" s="91" t="s">
        <v>26</v>
      </c>
      <c r="J30" s="91"/>
      <c r="K30" s="1"/>
      <c r="L30" s="94" t="s">
        <v>27</v>
      </c>
      <c r="M30" s="105"/>
      <c r="N30" s="105"/>
      <c r="O30" s="105"/>
      <c r="P30" s="105"/>
      <c r="Q30" s="105"/>
      <c r="R30" s="105"/>
      <c r="S30" s="95"/>
      <c r="U30" s="78"/>
    </row>
    <row r="31" spans="2:21" x14ac:dyDescent="0.25">
      <c r="B31" s="96"/>
      <c r="C31" s="89"/>
      <c r="D31" s="82"/>
      <c r="E31" s="1"/>
      <c r="F31" s="92" t="s">
        <v>44</v>
      </c>
      <c r="G31" s="93"/>
      <c r="H31" s="1"/>
      <c r="I31" s="91"/>
      <c r="J31" s="91"/>
      <c r="K31" s="1"/>
      <c r="L31" s="92" t="s">
        <v>46</v>
      </c>
      <c r="M31" s="104"/>
      <c r="N31" s="104"/>
      <c r="O31" s="104"/>
      <c r="P31" s="104" t="s">
        <v>45</v>
      </c>
      <c r="Q31" s="104"/>
      <c r="R31" s="104"/>
      <c r="S31" s="93"/>
      <c r="U31" s="78"/>
    </row>
    <row r="32" spans="2:21" x14ac:dyDescent="0.25">
      <c r="B32" s="96"/>
      <c r="C32" s="18"/>
      <c r="D32" s="18"/>
    </row>
  </sheetData>
  <mergeCells count="66">
    <mergeCell ref="F4:L4"/>
    <mergeCell ref="M4:S4"/>
    <mergeCell ref="I17:J18"/>
    <mergeCell ref="I7:J7"/>
    <mergeCell ref="O7:P7"/>
    <mergeCell ref="F7:G7"/>
    <mergeCell ref="R7:S7"/>
    <mergeCell ref="L7:M7"/>
    <mergeCell ref="R21:S21"/>
    <mergeCell ref="I11:J12"/>
    <mergeCell ref="I14:J15"/>
    <mergeCell ref="F11:G11"/>
    <mergeCell ref="L11:M11"/>
    <mergeCell ref="O14:P15"/>
    <mergeCell ref="O17:P18"/>
    <mergeCell ref="O20:P21"/>
    <mergeCell ref="R24:S24"/>
    <mergeCell ref="F6:G6"/>
    <mergeCell ref="L6:M6"/>
    <mergeCell ref="R6:S6"/>
    <mergeCell ref="F24:G24"/>
    <mergeCell ref="R20:S20"/>
    <mergeCell ref="L20:M20"/>
    <mergeCell ref="F20:G20"/>
    <mergeCell ref="F17:G17"/>
    <mergeCell ref="L17:M17"/>
    <mergeCell ref="R17:S17"/>
    <mergeCell ref="R11:S11"/>
    <mergeCell ref="F14:G14"/>
    <mergeCell ref="L14:M14"/>
    <mergeCell ref="R14:S14"/>
    <mergeCell ref="F21:G21"/>
    <mergeCell ref="R28:S28"/>
    <mergeCell ref="L31:O31"/>
    <mergeCell ref="P31:S31"/>
    <mergeCell ref="L30:S30"/>
    <mergeCell ref="R27:S27"/>
    <mergeCell ref="B23:B32"/>
    <mergeCell ref="B10:B22"/>
    <mergeCell ref="D11:D12"/>
    <mergeCell ref="D14:D15"/>
    <mergeCell ref="D17:D18"/>
    <mergeCell ref="D20:D21"/>
    <mergeCell ref="D24:D25"/>
    <mergeCell ref="D27:D28"/>
    <mergeCell ref="F25:G25"/>
    <mergeCell ref="F28:G28"/>
    <mergeCell ref="F31:G31"/>
    <mergeCell ref="F30:G30"/>
    <mergeCell ref="F27:G27"/>
    <mergeCell ref="U11:U31"/>
    <mergeCell ref="C2:S2"/>
    <mergeCell ref="D30:D31"/>
    <mergeCell ref="C11:C12"/>
    <mergeCell ref="C14:C15"/>
    <mergeCell ref="C17:C18"/>
    <mergeCell ref="C20:C21"/>
    <mergeCell ref="C24:C25"/>
    <mergeCell ref="C27:C28"/>
    <mergeCell ref="C30:C31"/>
    <mergeCell ref="C6:D8"/>
    <mergeCell ref="I20:J21"/>
    <mergeCell ref="I30:J31"/>
    <mergeCell ref="I24:P25"/>
    <mergeCell ref="I27:P28"/>
    <mergeCell ref="O11:P1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U66"/>
  <sheetViews>
    <sheetView showGridLines="0" tabSelected="1" workbookViewId="0"/>
  </sheetViews>
  <sheetFormatPr baseColWidth="10" defaultRowHeight="18.75" x14ac:dyDescent="0.3"/>
  <cols>
    <col min="1" max="1" width="1.7109375" customWidth="1"/>
    <col min="2" max="2" width="7" style="59" customWidth="1"/>
    <col min="3" max="3" width="3.7109375" style="14" customWidth="1"/>
    <col min="4" max="4" width="14.28515625" style="14" customWidth="1"/>
    <col min="5" max="5" width="6.140625" customWidth="1"/>
    <col min="6" max="6" width="11.42578125" customWidth="1"/>
    <col min="8" max="8" width="5.28515625" customWidth="1"/>
    <col min="11" max="11" width="5.28515625" customWidth="1"/>
    <col min="14" max="14" width="5.28515625" customWidth="1"/>
    <col min="17" max="17" width="5.28515625" customWidth="1"/>
    <col min="20" max="20" width="4.42578125" customWidth="1"/>
    <col min="21" max="21" width="3.7109375" bestFit="1" customWidth="1"/>
    <col min="22" max="22" width="1.7109375" customWidth="1"/>
  </cols>
  <sheetData>
    <row r="1" spans="2:21" ht="6" customHeight="1" thickBot="1" x14ac:dyDescent="0.35"/>
    <row r="2" spans="2:21" ht="19.5" thickBot="1" x14ac:dyDescent="0.35">
      <c r="C2" s="79" t="s">
        <v>190</v>
      </c>
      <c r="D2" s="80"/>
      <c r="E2" s="80"/>
      <c r="F2" s="80"/>
      <c r="G2" s="80"/>
      <c r="H2" s="80"/>
      <c r="I2" s="80"/>
      <c r="J2" s="80"/>
      <c r="K2" s="80"/>
      <c r="L2" s="80"/>
      <c r="M2" s="80"/>
      <c r="N2" s="80"/>
      <c r="O2" s="80"/>
      <c r="P2" s="80"/>
      <c r="Q2" s="80"/>
      <c r="R2" s="80"/>
      <c r="S2" s="81"/>
    </row>
    <row r="3" spans="2:21" ht="15" customHeight="1" thickBot="1" x14ac:dyDescent="0.35"/>
    <row r="4" spans="2:21" ht="20.25" thickTop="1" thickBot="1" x14ac:dyDescent="0.35">
      <c r="C4" s="15"/>
      <c r="D4" s="15"/>
      <c r="E4" s="1"/>
      <c r="F4" s="108" t="s">
        <v>47</v>
      </c>
      <c r="G4" s="109"/>
      <c r="H4" s="109"/>
      <c r="I4" s="109"/>
      <c r="J4" s="109"/>
      <c r="K4" s="109"/>
      <c r="L4" s="110"/>
      <c r="M4" s="108" t="s">
        <v>48</v>
      </c>
      <c r="N4" s="109"/>
      <c r="O4" s="109"/>
      <c r="P4" s="109"/>
      <c r="Q4" s="109"/>
      <c r="R4" s="109"/>
      <c r="S4" s="110"/>
    </row>
    <row r="5" spans="2:21" ht="20.25" customHeight="1" thickTop="1" x14ac:dyDescent="0.3">
      <c r="C5" s="15"/>
      <c r="D5" s="15"/>
      <c r="E5" s="1"/>
      <c r="F5" s="3"/>
      <c r="G5" s="3"/>
      <c r="H5" s="3"/>
      <c r="I5" s="3"/>
      <c r="J5" s="3"/>
      <c r="K5" s="3"/>
      <c r="L5" s="3"/>
      <c r="M5" s="3"/>
      <c r="N5" s="3"/>
      <c r="O5" s="3"/>
      <c r="P5" s="3"/>
      <c r="Q5" s="3"/>
      <c r="R5" s="3"/>
      <c r="S5" s="3"/>
    </row>
    <row r="6" spans="2:21" ht="15" customHeight="1" x14ac:dyDescent="0.3">
      <c r="B6" s="60"/>
      <c r="C6" s="193" t="s">
        <v>53</v>
      </c>
      <c r="D6" s="193"/>
      <c r="E6" s="1"/>
      <c r="F6" s="194" t="s">
        <v>8</v>
      </c>
      <c r="G6" s="195"/>
      <c r="H6" s="3"/>
      <c r="I6" s="1"/>
      <c r="J6" s="1"/>
      <c r="K6" s="3"/>
      <c r="L6" s="194" t="s">
        <v>7</v>
      </c>
      <c r="M6" s="195"/>
      <c r="N6" s="3"/>
      <c r="O6" s="1"/>
      <c r="P6" s="1"/>
      <c r="Q6" s="3"/>
      <c r="R6" s="194" t="s">
        <v>9</v>
      </c>
      <c r="S6" s="195"/>
    </row>
    <row r="7" spans="2:21" x14ac:dyDescent="0.3">
      <c r="B7" s="60"/>
      <c r="C7" s="193"/>
      <c r="D7" s="193"/>
      <c r="E7" s="1"/>
      <c r="F7" s="189" t="s">
        <v>19</v>
      </c>
      <c r="G7" s="190"/>
      <c r="H7" s="1"/>
      <c r="I7" s="111" t="s">
        <v>11</v>
      </c>
      <c r="J7" s="111"/>
      <c r="K7" s="1"/>
      <c r="L7" s="189" t="s">
        <v>20</v>
      </c>
      <c r="M7" s="190"/>
      <c r="N7" s="1"/>
      <c r="O7" s="111" t="s">
        <v>14</v>
      </c>
      <c r="P7" s="111"/>
      <c r="Q7" s="1"/>
      <c r="R7" s="189" t="s">
        <v>24</v>
      </c>
      <c r="S7" s="190"/>
      <c r="U7" s="20"/>
    </row>
    <row r="8" spans="2:21" x14ac:dyDescent="0.3">
      <c r="B8" s="60"/>
      <c r="C8" s="193"/>
      <c r="D8" s="193"/>
      <c r="E8" s="1"/>
      <c r="F8" s="7" t="s">
        <v>29</v>
      </c>
      <c r="G8" s="8" t="s">
        <v>6</v>
      </c>
      <c r="H8" s="1"/>
      <c r="I8" s="43"/>
      <c r="J8" s="43"/>
      <c r="K8" s="1"/>
      <c r="L8" s="7" t="s">
        <v>10</v>
      </c>
      <c r="M8" s="8" t="s">
        <v>6</v>
      </c>
      <c r="N8" s="1"/>
      <c r="O8" s="43"/>
      <c r="P8" s="43"/>
      <c r="Q8" s="1"/>
      <c r="R8" s="7" t="s">
        <v>10</v>
      </c>
      <c r="S8" s="8" t="s">
        <v>6</v>
      </c>
      <c r="U8" s="20"/>
    </row>
    <row r="9" spans="2:21" ht="32.25" customHeight="1" x14ac:dyDescent="0.25">
      <c r="B9" s="143" t="s">
        <v>172</v>
      </c>
      <c r="C9" s="6"/>
      <c r="D9" s="6"/>
      <c r="E9" s="6"/>
      <c r="F9" s="6"/>
      <c r="G9" s="6"/>
      <c r="H9" s="6"/>
      <c r="I9" s="6"/>
      <c r="J9" s="6"/>
      <c r="K9" s="6"/>
      <c r="L9" s="6"/>
      <c r="M9" s="6"/>
      <c r="N9" s="6"/>
      <c r="O9" s="6"/>
      <c r="P9" s="6"/>
      <c r="Q9" s="6"/>
      <c r="R9" s="6"/>
      <c r="S9" s="6"/>
      <c r="U9" s="20"/>
    </row>
    <row r="10" spans="2:21" ht="15" x14ac:dyDescent="0.25">
      <c r="B10" s="143"/>
      <c r="C10" s="159" t="s">
        <v>62</v>
      </c>
      <c r="D10" s="160" t="s">
        <v>159</v>
      </c>
      <c r="E10" s="6"/>
      <c r="F10" s="71" t="s">
        <v>151</v>
      </c>
      <c r="G10" s="153" t="s">
        <v>152</v>
      </c>
      <c r="H10" s="154"/>
      <c r="I10" s="72" t="s">
        <v>149</v>
      </c>
      <c r="J10" s="57" t="s">
        <v>21</v>
      </c>
      <c r="K10" s="148" t="s">
        <v>155</v>
      </c>
      <c r="L10" s="149"/>
      <c r="M10" s="153" t="s">
        <v>156</v>
      </c>
      <c r="N10" s="154"/>
      <c r="O10" s="72" t="s">
        <v>149</v>
      </c>
      <c r="P10" s="153" t="s">
        <v>157</v>
      </c>
      <c r="Q10" s="154"/>
      <c r="R10" s="156" t="s">
        <v>141</v>
      </c>
      <c r="S10" s="157"/>
      <c r="U10" s="78" t="s">
        <v>201</v>
      </c>
    </row>
    <row r="11" spans="2:21" ht="15" x14ac:dyDescent="0.25">
      <c r="B11" s="143"/>
      <c r="C11" s="159"/>
      <c r="D11" s="161"/>
      <c r="E11" s="6"/>
      <c r="F11" s="73" t="s">
        <v>148</v>
      </c>
      <c r="G11" s="6"/>
      <c r="H11" s="6"/>
      <c r="I11" s="74" t="s">
        <v>153</v>
      </c>
      <c r="J11" s="6"/>
      <c r="K11" s="162" t="s">
        <v>154</v>
      </c>
      <c r="L11" s="163"/>
      <c r="M11" s="6"/>
      <c r="N11" s="6"/>
      <c r="O11" s="74" t="s">
        <v>150</v>
      </c>
      <c r="P11" s="6"/>
      <c r="Q11" s="6"/>
      <c r="R11" s="75" t="s">
        <v>158</v>
      </c>
      <c r="S11" s="76" t="s">
        <v>140</v>
      </c>
      <c r="U11" s="78"/>
    </row>
    <row r="12" spans="2:21" ht="15" x14ac:dyDescent="0.25">
      <c r="B12" s="143"/>
      <c r="C12" s="6"/>
      <c r="D12" s="6"/>
      <c r="E12" s="6"/>
      <c r="F12" s="6"/>
      <c r="G12" s="6"/>
      <c r="H12" s="6"/>
      <c r="I12" s="58"/>
      <c r="J12" s="6"/>
      <c r="K12" s="58"/>
      <c r="L12" s="58"/>
      <c r="M12" s="6"/>
      <c r="N12" s="6"/>
      <c r="O12" s="58"/>
      <c r="P12" s="6"/>
      <c r="Q12" s="6"/>
      <c r="R12" s="58"/>
      <c r="S12" s="58"/>
      <c r="U12" s="78"/>
    </row>
    <row r="13" spans="2:21" ht="15" x14ac:dyDescent="0.25">
      <c r="B13" s="143"/>
      <c r="C13" s="164" t="s">
        <v>63</v>
      </c>
      <c r="D13" s="165" t="s">
        <v>160</v>
      </c>
      <c r="E13" s="1"/>
      <c r="F13" s="71" t="s">
        <v>13</v>
      </c>
      <c r="G13" s="158" t="s">
        <v>145</v>
      </c>
      <c r="H13" s="91"/>
      <c r="I13" s="72" t="s">
        <v>138</v>
      </c>
      <c r="J13" s="158" t="s">
        <v>142</v>
      </c>
      <c r="K13" s="91"/>
      <c r="L13" s="156" t="s">
        <v>144</v>
      </c>
      <c r="M13" s="157"/>
      <c r="N13" s="1"/>
      <c r="O13" s="91" t="s">
        <v>157</v>
      </c>
      <c r="P13" s="91"/>
      <c r="Q13" s="1"/>
      <c r="R13" s="156" t="s">
        <v>141</v>
      </c>
      <c r="S13" s="157"/>
      <c r="U13" s="78"/>
    </row>
    <row r="14" spans="2:21" ht="15" x14ac:dyDescent="0.25">
      <c r="B14" s="143"/>
      <c r="C14" s="164"/>
      <c r="D14" s="166"/>
      <c r="E14" s="1"/>
      <c r="F14" s="73" t="s">
        <v>146</v>
      </c>
      <c r="G14" s="6"/>
      <c r="H14" s="1"/>
      <c r="I14" s="56" t="s">
        <v>33</v>
      </c>
      <c r="J14" s="10"/>
      <c r="K14" s="1"/>
      <c r="L14" s="44" t="s">
        <v>139</v>
      </c>
      <c r="M14" s="45" t="s">
        <v>33</v>
      </c>
      <c r="N14" s="1"/>
      <c r="O14" s="91"/>
      <c r="P14" s="91"/>
      <c r="Q14" s="1"/>
      <c r="R14" s="44" t="s">
        <v>143</v>
      </c>
      <c r="S14" s="45" t="s">
        <v>140</v>
      </c>
      <c r="U14" s="78"/>
    </row>
    <row r="15" spans="2:21" ht="15" x14ac:dyDescent="0.25">
      <c r="B15" s="143"/>
      <c r="C15" s="6"/>
      <c r="D15" s="6"/>
      <c r="E15" s="6"/>
      <c r="F15" s="6"/>
      <c r="G15" s="6"/>
      <c r="H15" s="1"/>
      <c r="I15" s="58"/>
      <c r="J15" s="10"/>
      <c r="K15" s="1"/>
      <c r="L15" s="58"/>
      <c r="M15" s="58"/>
      <c r="N15" s="1"/>
      <c r="O15" s="43"/>
      <c r="P15" s="43"/>
      <c r="Q15" s="1"/>
      <c r="R15" s="58"/>
      <c r="S15" s="58"/>
      <c r="U15" s="78"/>
    </row>
    <row r="16" spans="2:21" ht="15" x14ac:dyDescent="0.25">
      <c r="B16" s="143"/>
      <c r="C16" s="6"/>
      <c r="D16" s="6"/>
      <c r="E16" s="6"/>
      <c r="F16" s="6"/>
      <c r="G16" s="6"/>
      <c r="H16" s="6"/>
      <c r="I16" s="6"/>
      <c r="J16" s="6"/>
      <c r="K16" s="6"/>
      <c r="L16" s="6"/>
      <c r="M16" s="6"/>
      <c r="N16" s="6"/>
      <c r="O16" s="6"/>
      <c r="P16" s="6"/>
      <c r="Q16" s="6"/>
      <c r="R16" s="148" t="s">
        <v>162</v>
      </c>
      <c r="S16" s="149"/>
      <c r="U16" s="78"/>
    </row>
    <row r="17" spans="2:21" ht="15" x14ac:dyDescent="0.25">
      <c r="B17" s="143"/>
      <c r="C17" s="6"/>
      <c r="D17" s="6"/>
      <c r="E17" s="6"/>
      <c r="F17" s="6"/>
      <c r="G17" s="6"/>
      <c r="H17" s="6"/>
      <c r="I17" s="6"/>
      <c r="J17" s="6"/>
      <c r="K17" s="6"/>
      <c r="L17" s="6"/>
      <c r="M17" s="6"/>
      <c r="N17" s="6"/>
      <c r="O17" s="6"/>
      <c r="P17" s="6"/>
      <c r="Q17" s="6"/>
      <c r="R17" s="64" t="s">
        <v>164</v>
      </c>
      <c r="S17" s="65" t="s">
        <v>161</v>
      </c>
      <c r="U17" s="78"/>
    </row>
    <row r="18" spans="2:21" ht="15" x14ac:dyDescent="0.25">
      <c r="B18" s="143"/>
      <c r="C18" s="150" t="s">
        <v>64</v>
      </c>
      <c r="D18" s="151" t="s">
        <v>163</v>
      </c>
      <c r="E18" s="6"/>
      <c r="F18" s="71" t="s">
        <v>147</v>
      </c>
      <c r="G18" s="153" t="s">
        <v>152</v>
      </c>
      <c r="H18" s="154"/>
      <c r="I18" s="72" t="s">
        <v>149</v>
      </c>
      <c r="J18" s="57" t="s">
        <v>21</v>
      </c>
      <c r="K18" s="148" t="s">
        <v>155</v>
      </c>
      <c r="L18" s="149"/>
      <c r="M18" s="153" t="s">
        <v>156</v>
      </c>
      <c r="N18" s="154"/>
      <c r="O18" s="72" t="s">
        <v>149</v>
      </c>
      <c r="P18" s="153" t="s">
        <v>168</v>
      </c>
      <c r="Q18" s="154"/>
      <c r="R18" s="64" t="s">
        <v>165</v>
      </c>
      <c r="S18" s="65" t="s">
        <v>169</v>
      </c>
      <c r="U18" s="78"/>
    </row>
    <row r="19" spans="2:21" ht="15" x14ac:dyDescent="0.25">
      <c r="B19" s="143"/>
      <c r="C19" s="150"/>
      <c r="D19" s="152"/>
      <c r="E19" s="6"/>
      <c r="F19" s="73" t="s">
        <v>148</v>
      </c>
      <c r="G19" s="6"/>
      <c r="H19" s="6"/>
      <c r="I19" s="56" t="s">
        <v>153</v>
      </c>
      <c r="J19" s="6"/>
      <c r="K19" s="155" t="s">
        <v>154</v>
      </c>
      <c r="L19" s="122"/>
      <c r="M19" s="6"/>
      <c r="N19" s="6"/>
      <c r="O19" s="56" t="s">
        <v>150</v>
      </c>
      <c r="P19" s="6"/>
      <c r="Q19" s="6"/>
      <c r="R19" s="44" t="s">
        <v>166</v>
      </c>
      <c r="S19" s="45" t="s">
        <v>167</v>
      </c>
      <c r="U19" s="78"/>
    </row>
    <row r="20" spans="2:21" ht="15" x14ac:dyDescent="0.25">
      <c r="B20" s="143"/>
      <c r="C20" s="6"/>
      <c r="D20" s="6"/>
      <c r="E20" s="6"/>
      <c r="F20" s="6"/>
      <c r="G20" s="6"/>
      <c r="H20" s="6"/>
      <c r="I20" s="6"/>
      <c r="J20" s="6"/>
      <c r="K20" s="6"/>
      <c r="L20" s="6"/>
      <c r="M20" s="6"/>
      <c r="N20" s="6"/>
      <c r="O20" s="6"/>
      <c r="P20" s="6"/>
      <c r="Q20" s="6"/>
      <c r="R20" s="6"/>
      <c r="S20" s="6"/>
      <c r="U20" s="78"/>
    </row>
    <row r="21" spans="2:21" ht="12" customHeight="1" x14ac:dyDescent="0.25">
      <c r="B21" s="147" t="s">
        <v>189</v>
      </c>
      <c r="C21" s="38"/>
      <c r="D21" s="38"/>
      <c r="E21" s="39"/>
      <c r="F21" s="39"/>
      <c r="G21" s="39"/>
      <c r="H21" s="39"/>
      <c r="I21" s="40"/>
      <c r="J21" s="40"/>
      <c r="K21" s="39"/>
      <c r="L21" s="39"/>
      <c r="M21" s="39"/>
      <c r="N21" s="39"/>
      <c r="O21" s="40"/>
      <c r="P21" s="40"/>
      <c r="Q21" s="39"/>
      <c r="R21" s="39"/>
      <c r="S21" s="39"/>
      <c r="U21" s="78"/>
    </row>
    <row r="22" spans="2:21" ht="15" customHeight="1" x14ac:dyDescent="0.25">
      <c r="B22" s="147"/>
      <c r="C22" s="191" t="s">
        <v>65</v>
      </c>
      <c r="D22" s="192" t="s">
        <v>49</v>
      </c>
      <c r="E22" s="1"/>
      <c r="F22" s="176" t="s">
        <v>13</v>
      </c>
      <c r="G22" s="177"/>
      <c r="H22" s="1"/>
      <c r="I22" s="91" t="s">
        <v>15</v>
      </c>
      <c r="J22" s="91"/>
      <c r="K22" s="1"/>
      <c r="L22" s="176" t="s">
        <v>18</v>
      </c>
      <c r="M22" s="177"/>
      <c r="N22" s="1"/>
      <c r="O22" s="91" t="s">
        <v>21</v>
      </c>
      <c r="P22" s="91"/>
      <c r="Q22" s="1"/>
      <c r="R22" s="176" t="s">
        <v>22</v>
      </c>
      <c r="S22" s="177"/>
      <c r="U22" s="78"/>
    </row>
    <row r="23" spans="2:21" ht="15" x14ac:dyDescent="0.25">
      <c r="B23" s="147"/>
      <c r="C23" s="191"/>
      <c r="D23" s="192"/>
      <c r="E23" s="1"/>
      <c r="F23" s="44" t="s">
        <v>12</v>
      </c>
      <c r="G23" s="45" t="s">
        <v>17</v>
      </c>
      <c r="H23" s="1"/>
      <c r="I23" s="91"/>
      <c r="J23" s="91"/>
      <c r="K23" s="1"/>
      <c r="L23" s="44" t="s">
        <v>36</v>
      </c>
      <c r="M23" s="45" t="s">
        <v>16</v>
      </c>
      <c r="N23" s="1"/>
      <c r="O23" s="91"/>
      <c r="P23" s="91"/>
      <c r="Q23" s="1"/>
      <c r="R23" s="44" t="s">
        <v>31</v>
      </c>
      <c r="S23" s="45" t="s">
        <v>30</v>
      </c>
      <c r="U23" s="78"/>
    </row>
    <row r="24" spans="2:21" ht="15" x14ac:dyDescent="0.25">
      <c r="B24" s="147"/>
      <c r="C24" s="16"/>
      <c r="D24" s="16"/>
      <c r="E24" s="1"/>
      <c r="F24" s="1"/>
      <c r="G24" s="1"/>
      <c r="H24" s="1"/>
      <c r="I24" s="10"/>
      <c r="J24" s="10"/>
      <c r="K24" s="1"/>
      <c r="L24" s="1"/>
      <c r="M24" s="1"/>
      <c r="N24" s="1"/>
      <c r="O24" s="10"/>
      <c r="P24" s="10"/>
      <c r="Q24" s="1"/>
      <c r="R24" s="1"/>
      <c r="S24" s="1"/>
      <c r="U24" s="78"/>
    </row>
    <row r="25" spans="2:21" ht="15" x14ac:dyDescent="0.25">
      <c r="B25" s="147"/>
      <c r="C25" s="183" t="s">
        <v>66</v>
      </c>
      <c r="D25" s="184" t="s">
        <v>248</v>
      </c>
      <c r="E25" s="1"/>
      <c r="F25" s="176" t="s">
        <v>13</v>
      </c>
      <c r="G25" s="177"/>
      <c r="H25" s="1"/>
      <c r="I25" s="91" t="s">
        <v>58</v>
      </c>
      <c r="J25" s="91"/>
      <c r="K25" s="1"/>
      <c r="L25" s="176" t="s">
        <v>23</v>
      </c>
      <c r="M25" s="177"/>
      <c r="N25" s="1"/>
      <c r="O25" s="91" t="s">
        <v>21</v>
      </c>
      <c r="P25" s="91"/>
      <c r="Q25" s="1"/>
      <c r="R25" s="176" t="s">
        <v>22</v>
      </c>
      <c r="S25" s="177"/>
      <c r="U25" s="78"/>
    </row>
    <row r="26" spans="2:21" ht="15" x14ac:dyDescent="0.25">
      <c r="B26" s="147"/>
      <c r="C26" s="183"/>
      <c r="D26" s="185"/>
      <c r="E26" s="1"/>
      <c r="F26" s="44" t="s">
        <v>57</v>
      </c>
      <c r="G26" s="45" t="s">
        <v>40</v>
      </c>
      <c r="H26" s="1"/>
      <c r="I26" s="91"/>
      <c r="J26" s="91"/>
      <c r="K26" s="1"/>
      <c r="L26" s="44" t="s">
        <v>32</v>
      </c>
      <c r="M26" s="45" t="s">
        <v>33</v>
      </c>
      <c r="N26" s="1"/>
      <c r="O26" s="91"/>
      <c r="P26" s="91"/>
      <c r="Q26" s="1"/>
      <c r="R26" s="44" t="s">
        <v>34</v>
      </c>
      <c r="S26" s="45" t="s">
        <v>30</v>
      </c>
      <c r="U26" s="78"/>
    </row>
    <row r="27" spans="2:21" ht="15" x14ac:dyDescent="0.25">
      <c r="B27" s="147"/>
      <c r="C27" s="19"/>
      <c r="D27" s="19"/>
      <c r="E27" s="1"/>
      <c r="F27" s="1"/>
      <c r="G27" s="1"/>
      <c r="H27" s="1"/>
      <c r="I27" s="10"/>
      <c r="J27" s="10"/>
      <c r="K27" s="1"/>
      <c r="L27" s="1"/>
      <c r="M27" s="1"/>
      <c r="N27" s="1"/>
      <c r="O27" s="10"/>
      <c r="P27" s="10"/>
      <c r="Q27" s="1"/>
      <c r="R27" s="1"/>
      <c r="S27" s="1"/>
      <c r="U27" s="78"/>
    </row>
    <row r="28" spans="2:21" ht="15" x14ac:dyDescent="0.25">
      <c r="B28" s="147"/>
      <c r="C28" s="186" t="s">
        <v>67</v>
      </c>
      <c r="D28" s="187" t="s">
        <v>200</v>
      </c>
      <c r="E28" s="1"/>
      <c r="F28" s="176" t="s">
        <v>13</v>
      </c>
      <c r="G28" s="177"/>
      <c r="H28" s="1"/>
      <c r="I28" s="91" t="s">
        <v>58</v>
      </c>
      <c r="J28" s="91"/>
      <c r="K28" s="1"/>
      <c r="L28" s="176" t="s">
        <v>23</v>
      </c>
      <c r="M28" s="177"/>
      <c r="N28" s="1"/>
      <c r="O28" s="91" t="s">
        <v>35</v>
      </c>
      <c r="P28" s="91"/>
      <c r="Q28" s="1"/>
      <c r="R28" s="176" t="s">
        <v>22</v>
      </c>
      <c r="S28" s="177"/>
      <c r="U28" s="78"/>
    </row>
    <row r="29" spans="2:21" ht="15" x14ac:dyDescent="0.25">
      <c r="B29" s="147"/>
      <c r="C29" s="186"/>
      <c r="D29" s="188"/>
      <c r="E29" s="1"/>
      <c r="F29" s="44" t="s">
        <v>57</v>
      </c>
      <c r="G29" s="45" t="s">
        <v>40</v>
      </c>
      <c r="H29" s="1"/>
      <c r="I29" s="91"/>
      <c r="J29" s="91"/>
      <c r="K29" s="1"/>
      <c r="L29" s="44" t="s">
        <v>32</v>
      </c>
      <c r="M29" s="45" t="s">
        <v>33</v>
      </c>
      <c r="N29" s="1"/>
      <c r="O29" s="91"/>
      <c r="P29" s="91"/>
      <c r="Q29" s="1"/>
      <c r="R29" s="44" t="s">
        <v>41</v>
      </c>
      <c r="S29" s="45" t="s">
        <v>42</v>
      </c>
      <c r="U29" s="78"/>
    </row>
    <row r="30" spans="2:21" ht="15" x14ac:dyDescent="0.25">
      <c r="B30" s="147"/>
      <c r="C30" s="16"/>
      <c r="D30" s="16"/>
      <c r="E30" s="1"/>
      <c r="F30" s="3"/>
      <c r="G30" s="3"/>
      <c r="H30" s="1"/>
      <c r="I30" s="43"/>
      <c r="J30" s="43"/>
      <c r="K30" s="1"/>
      <c r="L30" s="3"/>
      <c r="M30" s="3"/>
      <c r="N30" s="1"/>
      <c r="O30" s="43"/>
      <c r="P30" s="43"/>
      <c r="Q30" s="1"/>
      <c r="R30" s="3"/>
      <c r="S30" s="3"/>
      <c r="U30" s="78"/>
    </row>
    <row r="31" spans="2:21" ht="15" x14ac:dyDescent="0.25">
      <c r="B31" s="147"/>
      <c r="C31" s="181" t="s">
        <v>68</v>
      </c>
      <c r="D31" s="182" t="s">
        <v>39</v>
      </c>
      <c r="E31" s="1"/>
      <c r="F31" s="176" t="s">
        <v>128</v>
      </c>
      <c r="G31" s="177"/>
      <c r="H31" s="1"/>
      <c r="I31" s="91" t="s">
        <v>59</v>
      </c>
      <c r="J31" s="91"/>
      <c r="K31" s="1"/>
      <c r="L31" s="176" t="s">
        <v>25</v>
      </c>
      <c r="M31" s="177"/>
      <c r="N31" s="1"/>
      <c r="O31" s="91" t="s">
        <v>21</v>
      </c>
      <c r="P31" s="91"/>
      <c r="Q31" s="1"/>
      <c r="R31" s="176" t="s">
        <v>22</v>
      </c>
      <c r="S31" s="177"/>
      <c r="U31" s="78"/>
    </row>
    <row r="32" spans="2:21" ht="15" x14ac:dyDescent="0.25">
      <c r="B32" s="147"/>
      <c r="C32" s="181"/>
      <c r="D32" s="182"/>
      <c r="E32" s="1"/>
      <c r="F32" s="92" t="s">
        <v>37</v>
      </c>
      <c r="G32" s="93"/>
      <c r="H32" s="1"/>
      <c r="I32" s="91"/>
      <c r="J32" s="91"/>
      <c r="K32" s="1"/>
      <c r="L32" s="44" t="s">
        <v>38</v>
      </c>
      <c r="M32" s="45" t="s">
        <v>39</v>
      </c>
      <c r="N32" s="1"/>
      <c r="O32" s="91"/>
      <c r="P32" s="91"/>
      <c r="Q32" s="1"/>
      <c r="R32" s="92" t="s">
        <v>137</v>
      </c>
      <c r="S32" s="93"/>
      <c r="U32" s="78"/>
    </row>
    <row r="33" spans="2:21" ht="15.75" thickBot="1" x14ac:dyDescent="0.3">
      <c r="B33" s="147"/>
      <c r="C33" s="61"/>
      <c r="D33" s="61"/>
      <c r="E33" s="62"/>
      <c r="F33" s="63"/>
      <c r="G33" s="63"/>
      <c r="H33" s="62"/>
      <c r="I33" s="63"/>
      <c r="J33" s="63"/>
      <c r="K33" s="62"/>
      <c r="L33" s="63"/>
      <c r="M33" s="63"/>
      <c r="N33" s="62"/>
      <c r="O33" s="63"/>
      <c r="P33" s="63"/>
      <c r="Q33" s="62"/>
      <c r="R33" s="63"/>
      <c r="S33" s="63"/>
      <c r="U33" s="78"/>
    </row>
    <row r="34" spans="2:21" ht="15" x14ac:dyDescent="0.25">
      <c r="B34" s="147" t="s">
        <v>188</v>
      </c>
      <c r="C34" s="16"/>
      <c r="D34" s="16"/>
      <c r="E34" s="70"/>
      <c r="F34" s="58"/>
      <c r="G34" s="58"/>
      <c r="H34" s="70"/>
      <c r="I34" s="58"/>
      <c r="J34" s="58"/>
      <c r="K34" s="70"/>
      <c r="L34" s="58"/>
      <c r="M34" s="58"/>
      <c r="N34" s="70"/>
      <c r="O34" s="58"/>
      <c r="P34" s="58"/>
      <c r="Q34" s="70"/>
      <c r="R34" s="58"/>
      <c r="S34" s="58"/>
      <c r="U34" s="78"/>
    </row>
    <row r="35" spans="2:21" ht="15" x14ac:dyDescent="0.25">
      <c r="B35" s="147"/>
      <c r="C35" s="16"/>
      <c r="D35" s="16"/>
      <c r="E35" s="1"/>
      <c r="F35" s="3"/>
      <c r="G35" s="3"/>
      <c r="H35" s="1"/>
      <c r="I35" s="3"/>
      <c r="J35" s="3"/>
      <c r="K35" s="1"/>
      <c r="L35" s="115" t="s">
        <v>184</v>
      </c>
      <c r="M35" s="115"/>
      <c r="N35" s="1"/>
      <c r="O35" s="3"/>
      <c r="P35" s="3"/>
      <c r="Q35" s="1"/>
      <c r="R35" s="3"/>
      <c r="S35" s="3"/>
      <c r="U35" s="78"/>
    </row>
    <row r="36" spans="2:21" ht="15" x14ac:dyDescent="0.25">
      <c r="B36" s="147"/>
      <c r="C36" s="16"/>
      <c r="D36" s="16"/>
      <c r="E36" s="1"/>
      <c r="F36" s="3"/>
      <c r="G36" s="3"/>
      <c r="H36" s="1"/>
      <c r="I36" s="3"/>
      <c r="J36" s="3"/>
      <c r="K36" s="114" t="s">
        <v>185</v>
      </c>
      <c r="L36" s="114"/>
      <c r="M36" s="114"/>
      <c r="N36" s="114"/>
      <c r="Q36" s="1"/>
      <c r="R36" s="3"/>
      <c r="S36" s="3"/>
      <c r="U36" s="78"/>
    </row>
    <row r="37" spans="2:21" ht="15" customHeight="1" x14ac:dyDescent="0.25">
      <c r="B37" s="147"/>
      <c r="C37" s="16"/>
      <c r="D37" s="16"/>
      <c r="E37" s="1"/>
      <c r="F37" s="3"/>
      <c r="G37" s="3"/>
      <c r="H37" s="1"/>
      <c r="I37" s="3"/>
      <c r="J37" s="3"/>
      <c r="K37" s="1"/>
      <c r="L37" s="3"/>
      <c r="M37" s="3"/>
      <c r="N37" s="1"/>
      <c r="O37" s="114" t="s">
        <v>187</v>
      </c>
      <c r="P37" s="114"/>
      <c r="Q37" s="1"/>
      <c r="R37" s="123" t="s">
        <v>162</v>
      </c>
      <c r="S37" s="124"/>
      <c r="U37" s="78"/>
    </row>
    <row r="38" spans="2:21" ht="15" x14ac:dyDescent="0.25">
      <c r="B38" s="147"/>
      <c r="C38" s="144" t="s">
        <v>191</v>
      </c>
      <c r="D38" s="145" t="s">
        <v>197</v>
      </c>
      <c r="E38" s="1"/>
      <c r="F38" s="137" t="s">
        <v>181</v>
      </c>
      <c r="G38" s="138"/>
      <c r="H38" s="1"/>
      <c r="I38" s="91" t="s">
        <v>179</v>
      </c>
      <c r="J38" s="91"/>
      <c r="K38" s="1"/>
      <c r="L38" s="139" t="s">
        <v>176</v>
      </c>
      <c r="M38" s="140"/>
      <c r="N38" s="1"/>
      <c r="O38" s="3"/>
      <c r="P38" s="3"/>
      <c r="Q38" s="1"/>
      <c r="R38" s="66" t="s">
        <v>164</v>
      </c>
      <c r="S38" s="129" t="s">
        <v>186</v>
      </c>
      <c r="U38" s="78"/>
    </row>
    <row r="39" spans="2:21" ht="15" x14ac:dyDescent="0.25">
      <c r="B39" s="147"/>
      <c r="C39" s="144"/>
      <c r="D39" s="146"/>
      <c r="E39" s="1"/>
      <c r="F39" s="141" t="s">
        <v>180</v>
      </c>
      <c r="G39" s="142"/>
      <c r="H39" s="1"/>
      <c r="I39" s="91"/>
      <c r="J39" s="91"/>
      <c r="K39" s="1"/>
      <c r="L39" s="44" t="s">
        <v>177</v>
      </c>
      <c r="M39" s="45" t="s">
        <v>178</v>
      </c>
      <c r="N39" s="1"/>
      <c r="O39" s="3"/>
      <c r="P39" s="3"/>
      <c r="Q39" s="1"/>
      <c r="R39" s="66" t="s">
        <v>165</v>
      </c>
      <c r="S39" s="130"/>
      <c r="U39" s="78"/>
    </row>
    <row r="40" spans="2:21" ht="15" x14ac:dyDescent="0.25">
      <c r="B40" s="147"/>
      <c r="C40" s="16"/>
      <c r="D40" s="16"/>
      <c r="E40" s="1"/>
      <c r="F40" s="3"/>
      <c r="G40" s="3"/>
      <c r="H40" s="1"/>
      <c r="I40" s="3"/>
      <c r="J40" s="3"/>
      <c r="K40" s="1"/>
      <c r="L40" s="3"/>
      <c r="M40" s="3"/>
      <c r="N40" s="1"/>
      <c r="O40" s="114" t="s">
        <v>168</v>
      </c>
      <c r="P40" s="114"/>
      <c r="Q40" s="1"/>
      <c r="R40" s="67" t="s">
        <v>166</v>
      </c>
      <c r="S40" s="131"/>
      <c r="U40" s="78"/>
    </row>
    <row r="41" spans="2:21" ht="15" x14ac:dyDescent="0.25">
      <c r="B41" s="147"/>
      <c r="C41" s="16"/>
      <c r="D41" s="16"/>
      <c r="E41" s="1"/>
      <c r="F41" s="3"/>
      <c r="G41" s="3"/>
      <c r="H41" s="1"/>
      <c r="I41" s="3"/>
      <c r="J41" s="3"/>
      <c r="K41" s="1"/>
      <c r="L41" s="3"/>
      <c r="M41" s="3"/>
      <c r="N41" s="1"/>
      <c r="O41" s="11"/>
      <c r="P41" s="11"/>
      <c r="Q41" s="1"/>
      <c r="R41" s="123" t="s">
        <v>173</v>
      </c>
      <c r="S41" s="124"/>
      <c r="U41" s="78"/>
    </row>
    <row r="42" spans="2:21" ht="15" x14ac:dyDescent="0.25">
      <c r="B42" s="147"/>
      <c r="C42" s="16"/>
      <c r="D42" s="16"/>
      <c r="E42" s="1"/>
      <c r="F42" s="3"/>
      <c r="G42" s="3"/>
      <c r="H42" s="1"/>
      <c r="I42" s="3"/>
      <c r="J42" s="3"/>
      <c r="K42" s="1"/>
      <c r="L42" s="134" t="s">
        <v>183</v>
      </c>
      <c r="M42" s="134"/>
      <c r="N42" s="1"/>
      <c r="O42" s="11"/>
      <c r="P42" s="11"/>
      <c r="Q42" s="1"/>
      <c r="R42" s="125" t="s">
        <v>182</v>
      </c>
      <c r="S42" s="126"/>
      <c r="U42" s="78"/>
    </row>
    <row r="43" spans="2:21" ht="15" x14ac:dyDescent="0.25">
      <c r="B43" s="147"/>
      <c r="C43" s="16"/>
      <c r="D43" s="16"/>
      <c r="E43" s="1"/>
      <c r="F43" s="3"/>
      <c r="G43" s="3"/>
      <c r="H43" s="1"/>
      <c r="I43" s="3"/>
      <c r="J43" s="3"/>
      <c r="K43" s="114" t="s">
        <v>185</v>
      </c>
      <c r="L43" s="114"/>
      <c r="M43" s="114"/>
      <c r="N43" s="114"/>
      <c r="O43" s="3"/>
      <c r="P43" s="3"/>
      <c r="Q43" s="1"/>
      <c r="R43" s="127"/>
      <c r="S43" s="128"/>
      <c r="U43" s="78"/>
    </row>
    <row r="44" spans="2:21" ht="15" x14ac:dyDescent="0.25">
      <c r="B44" s="147"/>
      <c r="C44" s="16"/>
      <c r="D44" s="16"/>
      <c r="E44" s="1"/>
      <c r="F44" s="3"/>
      <c r="G44" s="3"/>
      <c r="H44" s="1"/>
      <c r="I44" s="3"/>
      <c r="J44" s="3"/>
      <c r="K44" s="1"/>
      <c r="L44" s="3"/>
      <c r="M44" s="3"/>
      <c r="N44" s="1"/>
      <c r="O44" s="114" t="s">
        <v>187</v>
      </c>
      <c r="P44" s="114"/>
      <c r="Q44" s="1"/>
      <c r="R44" s="132" t="s">
        <v>174</v>
      </c>
      <c r="S44" s="133"/>
      <c r="U44" s="78"/>
    </row>
    <row r="45" spans="2:21" ht="15" x14ac:dyDescent="0.25">
      <c r="B45" s="147"/>
      <c r="C45" s="117" t="s">
        <v>192</v>
      </c>
      <c r="D45" s="118" t="s">
        <v>198</v>
      </c>
      <c r="E45" s="1"/>
      <c r="F45" s="139" t="s">
        <v>13</v>
      </c>
      <c r="G45" s="140"/>
      <c r="H45" s="1"/>
      <c r="I45" s="91" t="s">
        <v>58</v>
      </c>
      <c r="J45" s="91"/>
      <c r="K45" s="1"/>
      <c r="L45" s="139" t="s">
        <v>23</v>
      </c>
      <c r="M45" s="140"/>
      <c r="N45" s="1"/>
      <c r="Q45" s="1"/>
      <c r="R45" s="68" t="s">
        <v>164</v>
      </c>
      <c r="S45" s="135" t="s">
        <v>186</v>
      </c>
      <c r="U45" s="78"/>
    </row>
    <row r="46" spans="2:21" ht="15" x14ac:dyDescent="0.25">
      <c r="B46" s="147"/>
      <c r="C46" s="117"/>
      <c r="D46" s="119"/>
      <c r="E46" s="1"/>
      <c r="F46" s="44" t="s">
        <v>57</v>
      </c>
      <c r="G46" s="45" t="s">
        <v>40</v>
      </c>
      <c r="H46" s="1"/>
      <c r="I46" s="91"/>
      <c r="J46" s="91"/>
      <c r="K46" s="1"/>
      <c r="L46" s="44" t="s">
        <v>32</v>
      </c>
      <c r="M46" s="45" t="s">
        <v>33</v>
      </c>
      <c r="N46" s="1"/>
      <c r="O46" s="116" t="s">
        <v>168</v>
      </c>
      <c r="P46" s="116"/>
      <c r="Q46" s="1"/>
      <c r="R46" s="69" t="s">
        <v>175</v>
      </c>
      <c r="S46" s="136"/>
      <c r="U46" s="78"/>
    </row>
    <row r="47" spans="2:21" ht="15.75" thickBot="1" x14ac:dyDescent="0.3">
      <c r="B47" s="147"/>
      <c r="C47" s="16"/>
      <c r="D47" s="16"/>
      <c r="E47" s="1"/>
      <c r="F47" s="3"/>
      <c r="G47" s="3"/>
      <c r="H47" s="1"/>
      <c r="I47" s="3"/>
      <c r="J47" s="3"/>
      <c r="K47" s="1"/>
      <c r="L47" s="3"/>
      <c r="M47" s="3"/>
      <c r="N47" s="1"/>
      <c r="O47" s="116"/>
      <c r="P47" s="116"/>
      <c r="Q47" s="1"/>
      <c r="R47" s="3"/>
      <c r="S47" s="3"/>
      <c r="U47" s="78"/>
    </row>
    <row r="48" spans="2:21" ht="15" x14ac:dyDescent="0.25">
      <c r="B48" s="147" t="s">
        <v>171</v>
      </c>
      <c r="C48" s="17"/>
      <c r="D48" s="17"/>
      <c r="E48" s="13"/>
      <c r="F48" s="13"/>
      <c r="G48" s="13"/>
      <c r="H48" s="13"/>
      <c r="I48" s="13"/>
      <c r="J48" s="13"/>
      <c r="K48" s="13"/>
      <c r="L48" s="13"/>
      <c r="M48" s="13"/>
      <c r="N48" s="13"/>
      <c r="O48" s="13"/>
      <c r="P48" s="13"/>
      <c r="Q48" s="13"/>
      <c r="R48" s="13"/>
      <c r="S48" s="13"/>
      <c r="U48" s="78"/>
    </row>
    <row r="49" spans="2:21" ht="15" x14ac:dyDescent="0.25">
      <c r="B49" s="147"/>
      <c r="C49" s="178" t="s">
        <v>193</v>
      </c>
      <c r="D49" s="179" t="s">
        <v>199</v>
      </c>
      <c r="E49" s="1"/>
      <c r="F49" s="169" t="s">
        <v>13</v>
      </c>
      <c r="G49" s="170"/>
      <c r="H49" s="1"/>
      <c r="I49" s="91" t="s">
        <v>58</v>
      </c>
      <c r="J49" s="91"/>
      <c r="K49" s="91"/>
      <c r="L49" s="91"/>
      <c r="M49" s="91"/>
      <c r="N49" s="91"/>
      <c r="O49" s="91"/>
      <c r="P49" s="91"/>
      <c r="Q49" s="1"/>
      <c r="R49" s="169" t="s">
        <v>196</v>
      </c>
      <c r="S49" s="170"/>
      <c r="U49" s="78"/>
    </row>
    <row r="50" spans="2:21" ht="15" x14ac:dyDescent="0.25">
      <c r="B50" s="147"/>
      <c r="C50" s="178"/>
      <c r="D50" s="180"/>
      <c r="E50" s="1"/>
      <c r="F50" s="92" t="s">
        <v>37</v>
      </c>
      <c r="G50" s="93"/>
      <c r="H50" s="1"/>
      <c r="I50" s="91"/>
      <c r="J50" s="91"/>
      <c r="K50" s="91"/>
      <c r="L50" s="91"/>
      <c r="M50" s="91"/>
      <c r="N50" s="91"/>
      <c r="O50" s="91"/>
      <c r="P50" s="91"/>
      <c r="Q50" s="3"/>
      <c r="R50" s="44" t="s">
        <v>56</v>
      </c>
      <c r="S50" s="45" t="s">
        <v>42</v>
      </c>
      <c r="U50" s="78"/>
    </row>
    <row r="51" spans="2:21" ht="15" x14ac:dyDescent="0.25">
      <c r="B51" s="147"/>
      <c r="C51" s="16"/>
      <c r="D51" s="16"/>
      <c r="E51" s="1"/>
      <c r="F51" s="3"/>
      <c r="G51" s="3"/>
      <c r="H51" s="1"/>
      <c r="I51" s="11"/>
      <c r="J51" s="11"/>
      <c r="K51" s="12"/>
      <c r="L51" s="11"/>
      <c r="M51" s="11"/>
      <c r="N51" s="11"/>
      <c r="O51" s="11"/>
      <c r="P51" s="11"/>
      <c r="Q51" s="3"/>
      <c r="R51" s="3"/>
      <c r="S51" s="3"/>
      <c r="U51" s="78"/>
    </row>
    <row r="52" spans="2:21" ht="15" x14ac:dyDescent="0.25">
      <c r="B52" s="147"/>
      <c r="C52" s="174" t="s">
        <v>194</v>
      </c>
      <c r="D52" s="175" t="s">
        <v>52</v>
      </c>
      <c r="E52" s="1"/>
      <c r="F52" s="169" t="s">
        <v>13</v>
      </c>
      <c r="G52" s="170"/>
      <c r="H52" s="1"/>
      <c r="I52" s="91" t="s">
        <v>28</v>
      </c>
      <c r="J52" s="91"/>
      <c r="K52" s="91"/>
      <c r="L52" s="91"/>
      <c r="M52" s="91"/>
      <c r="N52" s="91"/>
      <c r="O52" s="91"/>
      <c r="P52" s="91"/>
      <c r="Q52" s="1"/>
      <c r="R52" s="169" t="s">
        <v>27</v>
      </c>
      <c r="S52" s="170"/>
      <c r="U52" s="78"/>
    </row>
    <row r="53" spans="2:21" ht="15" x14ac:dyDescent="0.25">
      <c r="B53" s="147"/>
      <c r="C53" s="174"/>
      <c r="D53" s="175"/>
      <c r="E53" s="1"/>
      <c r="F53" s="92" t="s">
        <v>37</v>
      </c>
      <c r="G53" s="93"/>
      <c r="H53" s="1"/>
      <c r="I53" s="91"/>
      <c r="J53" s="91"/>
      <c r="K53" s="91"/>
      <c r="L53" s="91"/>
      <c r="M53" s="91"/>
      <c r="N53" s="91"/>
      <c r="O53" s="91"/>
      <c r="P53" s="91"/>
      <c r="Q53" s="1"/>
      <c r="R53" s="92" t="s">
        <v>45</v>
      </c>
      <c r="S53" s="93"/>
      <c r="U53" s="78"/>
    </row>
    <row r="54" spans="2:21" ht="15" x14ac:dyDescent="0.25">
      <c r="B54" s="147"/>
      <c r="C54" s="16"/>
      <c r="D54" s="16"/>
      <c r="E54" s="1"/>
      <c r="F54" s="1"/>
      <c r="G54" s="1"/>
      <c r="H54" s="1"/>
      <c r="I54" s="1"/>
      <c r="J54" s="1"/>
      <c r="K54" s="1"/>
      <c r="L54" s="1"/>
      <c r="M54" s="1"/>
      <c r="N54" s="1"/>
      <c r="O54" s="1"/>
      <c r="P54" s="1"/>
      <c r="Q54" s="1"/>
      <c r="R54" s="1"/>
      <c r="S54" s="1"/>
      <c r="U54" s="78"/>
    </row>
    <row r="55" spans="2:21" ht="15" x14ac:dyDescent="0.25">
      <c r="B55" s="147"/>
      <c r="C55" s="167" t="s">
        <v>195</v>
      </c>
      <c r="D55" s="168" t="s">
        <v>27</v>
      </c>
      <c r="E55" s="1"/>
      <c r="F55" s="169" t="s">
        <v>13</v>
      </c>
      <c r="G55" s="170"/>
      <c r="H55" s="1"/>
      <c r="I55" s="91" t="s">
        <v>26</v>
      </c>
      <c r="J55" s="91"/>
      <c r="K55" s="1"/>
      <c r="L55" s="171" t="s">
        <v>27</v>
      </c>
      <c r="M55" s="172"/>
      <c r="N55" s="172"/>
      <c r="O55" s="172"/>
      <c r="P55" s="172"/>
      <c r="Q55" s="172"/>
      <c r="R55" s="172"/>
      <c r="S55" s="173"/>
      <c r="U55" s="78"/>
    </row>
    <row r="56" spans="2:21" ht="15" x14ac:dyDescent="0.25">
      <c r="B56" s="147"/>
      <c r="C56" s="167"/>
      <c r="D56" s="168"/>
      <c r="E56" s="1"/>
      <c r="F56" s="92" t="s">
        <v>44</v>
      </c>
      <c r="G56" s="93"/>
      <c r="H56" s="1"/>
      <c r="I56" s="91"/>
      <c r="J56" s="91"/>
      <c r="K56" s="1"/>
      <c r="L56" s="92" t="s">
        <v>46</v>
      </c>
      <c r="M56" s="104"/>
      <c r="N56" s="104"/>
      <c r="O56" s="104"/>
      <c r="P56" s="120" t="s">
        <v>45</v>
      </c>
      <c r="Q56" s="121"/>
      <c r="R56" s="121"/>
      <c r="S56" s="122"/>
      <c r="U56" s="78"/>
    </row>
    <row r="57" spans="2:21" ht="15.75" thickBot="1" x14ac:dyDescent="0.3">
      <c r="B57" s="147"/>
      <c r="C57" s="18"/>
      <c r="D57" s="18"/>
    </row>
    <row r="58" spans="2:21" ht="18.75" customHeight="1" x14ac:dyDescent="0.25">
      <c r="B58" s="232" t="s">
        <v>284</v>
      </c>
      <c r="C58" s="17"/>
      <c r="D58" s="17"/>
      <c r="E58" s="13"/>
      <c r="F58" s="13"/>
      <c r="G58" s="13"/>
      <c r="H58" s="13"/>
      <c r="I58" s="13"/>
      <c r="J58" s="13"/>
      <c r="K58" s="13"/>
      <c r="L58" s="13"/>
      <c r="M58" s="13"/>
      <c r="N58" s="13"/>
      <c r="O58" s="13"/>
      <c r="P58" s="13"/>
      <c r="Q58" s="13"/>
      <c r="R58" s="13"/>
      <c r="S58" s="13"/>
    </row>
    <row r="59" spans="2:21" ht="18.75" customHeight="1" x14ac:dyDescent="0.25">
      <c r="B59" s="232"/>
      <c r="C59" s="90" t="s">
        <v>277</v>
      </c>
      <c r="D59" s="216" t="s">
        <v>278</v>
      </c>
      <c r="F59" s="218" t="s">
        <v>281</v>
      </c>
      <c r="G59" s="219"/>
      <c r="I59" s="91" t="s">
        <v>283</v>
      </c>
      <c r="J59" s="91"/>
      <c r="K59" s="1"/>
      <c r="L59" s="220" t="s">
        <v>285</v>
      </c>
      <c r="M59" s="221"/>
      <c r="N59" s="1"/>
      <c r="O59" s="91" t="s">
        <v>283</v>
      </c>
      <c r="P59" s="91"/>
      <c r="Q59" s="1"/>
      <c r="R59" s="222" t="s">
        <v>162</v>
      </c>
      <c r="S59" s="223"/>
    </row>
    <row r="60" spans="2:21" ht="18.75" customHeight="1" x14ac:dyDescent="0.25">
      <c r="B60" s="232"/>
      <c r="C60" s="90"/>
      <c r="D60" s="217"/>
      <c r="F60" s="141" t="s">
        <v>282</v>
      </c>
      <c r="G60" s="142"/>
      <c r="I60" s="91"/>
      <c r="J60" s="91"/>
      <c r="K60" s="1"/>
      <c r="L60" s="50" t="s">
        <v>146</v>
      </c>
      <c r="M60" s="51" t="s">
        <v>280</v>
      </c>
      <c r="N60" s="1"/>
      <c r="O60" s="91"/>
      <c r="P60" s="91"/>
      <c r="Q60" s="1"/>
      <c r="R60" s="226" t="s">
        <v>279</v>
      </c>
      <c r="S60" s="227"/>
    </row>
    <row r="61" spans="2:21" ht="18.75" customHeight="1" x14ac:dyDescent="0.25">
      <c r="B61" s="232"/>
      <c r="R61" s="222" t="s">
        <v>173</v>
      </c>
      <c r="S61" s="223"/>
    </row>
    <row r="62" spans="2:21" ht="18.75" customHeight="1" x14ac:dyDescent="0.25">
      <c r="B62" s="232"/>
      <c r="R62" s="228" t="s">
        <v>279</v>
      </c>
      <c r="S62" s="229"/>
    </row>
    <row r="63" spans="2:21" ht="18.75" customHeight="1" x14ac:dyDescent="0.25">
      <c r="B63" s="232"/>
      <c r="R63" s="224" t="s">
        <v>174</v>
      </c>
      <c r="S63" s="225"/>
    </row>
    <row r="64" spans="2:21" ht="18.75" customHeight="1" x14ac:dyDescent="0.25">
      <c r="B64" s="232"/>
      <c r="R64" s="230" t="s">
        <v>279</v>
      </c>
      <c r="S64" s="231"/>
    </row>
    <row r="65" spans="2:19" ht="19.5" customHeight="1" thickBot="1" x14ac:dyDescent="0.3">
      <c r="B65" s="232"/>
    </row>
    <row r="66" spans="2:19" x14ac:dyDescent="0.3">
      <c r="C66" s="17"/>
      <c r="D66" s="17"/>
      <c r="E66" s="13"/>
      <c r="F66" s="13"/>
      <c r="G66" s="13"/>
      <c r="H66" s="13"/>
      <c r="I66" s="13"/>
      <c r="J66" s="13"/>
      <c r="K66" s="13"/>
      <c r="L66" s="13"/>
      <c r="M66" s="13"/>
      <c r="N66" s="13"/>
      <c r="O66" s="13"/>
      <c r="P66" s="13"/>
      <c r="Q66" s="13"/>
      <c r="R66" s="13"/>
      <c r="S66" s="13"/>
    </row>
  </sheetData>
  <mergeCells count="131">
    <mergeCell ref="B58:B65"/>
    <mergeCell ref="F59:G59"/>
    <mergeCell ref="R59:S59"/>
    <mergeCell ref="R62:S62"/>
    <mergeCell ref="R63:S63"/>
    <mergeCell ref="R64:S64"/>
    <mergeCell ref="I59:J60"/>
    <mergeCell ref="L59:M59"/>
    <mergeCell ref="O59:P60"/>
    <mergeCell ref="F60:G60"/>
    <mergeCell ref="R60:S60"/>
    <mergeCell ref="R61:S61"/>
    <mergeCell ref="C59:C60"/>
    <mergeCell ref="D59:D60"/>
    <mergeCell ref="C2:S2"/>
    <mergeCell ref="F4:L4"/>
    <mergeCell ref="M4:S4"/>
    <mergeCell ref="C6:D8"/>
    <mergeCell ref="F6:G6"/>
    <mergeCell ref="L6:M6"/>
    <mergeCell ref="R6:S6"/>
    <mergeCell ref="F7:G7"/>
    <mergeCell ref="I7:J7"/>
    <mergeCell ref="L7:M7"/>
    <mergeCell ref="O7:P7"/>
    <mergeCell ref="R7:S7"/>
    <mergeCell ref="B21:B33"/>
    <mergeCell ref="C22:C23"/>
    <mergeCell ref="D22:D23"/>
    <mergeCell ref="F22:G22"/>
    <mergeCell ref="I22:J23"/>
    <mergeCell ref="L22:M22"/>
    <mergeCell ref="O22:P23"/>
    <mergeCell ref="R22:S22"/>
    <mergeCell ref="C25:C26"/>
    <mergeCell ref="D25:D26"/>
    <mergeCell ref="F25:G25"/>
    <mergeCell ref="I25:J26"/>
    <mergeCell ref="L25:M25"/>
    <mergeCell ref="O25:P26"/>
    <mergeCell ref="R25:S25"/>
    <mergeCell ref="C28:C29"/>
    <mergeCell ref="D28:D29"/>
    <mergeCell ref="B48:B57"/>
    <mergeCell ref="C49:C50"/>
    <mergeCell ref="D49:D50"/>
    <mergeCell ref="F49:G49"/>
    <mergeCell ref="I49:P50"/>
    <mergeCell ref="R49:S49"/>
    <mergeCell ref="F28:G28"/>
    <mergeCell ref="I28:J29"/>
    <mergeCell ref="L28:M28"/>
    <mergeCell ref="O28:P29"/>
    <mergeCell ref="R28:S28"/>
    <mergeCell ref="C31:C32"/>
    <mergeCell ref="D31:D32"/>
    <mergeCell ref="F31:G31"/>
    <mergeCell ref="I31:J32"/>
    <mergeCell ref="L31:M31"/>
    <mergeCell ref="R10:S10"/>
    <mergeCell ref="C13:C14"/>
    <mergeCell ref="D13:D14"/>
    <mergeCell ref="L13:M13"/>
    <mergeCell ref="O13:P14"/>
    <mergeCell ref="C55:C56"/>
    <mergeCell ref="D55:D56"/>
    <mergeCell ref="F55:G55"/>
    <mergeCell ref="I55:J56"/>
    <mergeCell ref="L55:S55"/>
    <mergeCell ref="F56:G56"/>
    <mergeCell ref="L56:O56"/>
    <mergeCell ref="F50:G50"/>
    <mergeCell ref="C52:C53"/>
    <mergeCell ref="D52:D53"/>
    <mergeCell ref="F52:G52"/>
    <mergeCell ref="I52:P53"/>
    <mergeCell ref="R52:S52"/>
    <mergeCell ref="F53:G53"/>
    <mergeCell ref="R53:S53"/>
    <mergeCell ref="O31:P32"/>
    <mergeCell ref="R31:S31"/>
    <mergeCell ref="F32:G32"/>
    <mergeCell ref="R32:S32"/>
    <mergeCell ref="O40:P40"/>
    <mergeCell ref="O47:P47"/>
    <mergeCell ref="B9:B20"/>
    <mergeCell ref="C38:C39"/>
    <mergeCell ref="D38:D39"/>
    <mergeCell ref="B34:B47"/>
    <mergeCell ref="R16:S16"/>
    <mergeCell ref="C18:C19"/>
    <mergeCell ref="D18:D19"/>
    <mergeCell ref="G18:H18"/>
    <mergeCell ref="K18:L18"/>
    <mergeCell ref="M18:N18"/>
    <mergeCell ref="P18:Q18"/>
    <mergeCell ref="K19:L19"/>
    <mergeCell ref="P10:Q10"/>
    <mergeCell ref="R13:S13"/>
    <mergeCell ref="G13:H13"/>
    <mergeCell ref="J13:K13"/>
    <mergeCell ref="C10:C11"/>
    <mergeCell ref="D10:D11"/>
    <mergeCell ref="G10:H10"/>
    <mergeCell ref="K10:L10"/>
    <mergeCell ref="K11:L11"/>
    <mergeCell ref="M10:N10"/>
    <mergeCell ref="U10:U56"/>
    <mergeCell ref="K36:N36"/>
    <mergeCell ref="K43:N43"/>
    <mergeCell ref="L35:M35"/>
    <mergeCell ref="O37:P37"/>
    <mergeCell ref="O44:P44"/>
    <mergeCell ref="O46:P46"/>
    <mergeCell ref="C45:C46"/>
    <mergeCell ref="D45:D46"/>
    <mergeCell ref="P56:S56"/>
    <mergeCell ref="R37:S37"/>
    <mergeCell ref="R42:S43"/>
    <mergeCell ref="S38:S40"/>
    <mergeCell ref="R41:S41"/>
    <mergeCell ref="R44:S44"/>
    <mergeCell ref="L42:M42"/>
    <mergeCell ref="S45:S46"/>
    <mergeCell ref="F38:G38"/>
    <mergeCell ref="I38:J39"/>
    <mergeCell ref="L38:M38"/>
    <mergeCell ref="F45:G45"/>
    <mergeCell ref="I45:J46"/>
    <mergeCell ref="L45:M45"/>
    <mergeCell ref="F39:G3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V20"/>
  <sheetViews>
    <sheetView showGridLines="0" workbookViewId="0"/>
  </sheetViews>
  <sheetFormatPr baseColWidth="10" defaultRowHeight="15" x14ac:dyDescent="0.25"/>
  <cols>
    <col min="1" max="1" width="2.7109375" customWidth="1"/>
    <col min="2" max="2" width="30.85546875" bestFit="1" customWidth="1"/>
    <col min="3" max="3" width="4.42578125" customWidth="1"/>
    <col min="4" max="9" width="3" hidden="1" customWidth="1"/>
    <col min="10" max="10" width="2.5703125" hidden="1" customWidth="1"/>
    <col min="11" max="16" width="3" hidden="1" customWidth="1"/>
    <col min="17" max="17" width="3.5703125" hidden="1" customWidth="1"/>
    <col min="18" max="18" width="12" bestFit="1" customWidth="1"/>
    <col min="19" max="19" width="15.28515625" bestFit="1" customWidth="1"/>
    <col min="20" max="20" width="15.85546875" bestFit="1" customWidth="1"/>
    <col min="21" max="21" width="2.7109375" customWidth="1"/>
    <col min="22" max="22" width="98" customWidth="1"/>
    <col min="23" max="23" width="2.85546875" customWidth="1"/>
  </cols>
  <sheetData>
    <row r="1" spans="2:22" x14ac:dyDescent="0.25">
      <c r="D1" s="234">
        <v>14</v>
      </c>
      <c r="E1" s="234">
        <v>15</v>
      </c>
      <c r="F1" s="234">
        <v>16</v>
      </c>
      <c r="G1" s="234">
        <v>21</v>
      </c>
      <c r="H1" s="234">
        <v>22</v>
      </c>
      <c r="I1" s="234">
        <v>23</v>
      </c>
      <c r="K1" s="234">
        <v>14</v>
      </c>
      <c r="L1" s="234">
        <v>15</v>
      </c>
      <c r="M1" s="234">
        <v>16</v>
      </c>
      <c r="N1" s="234">
        <v>21</v>
      </c>
      <c r="O1" s="234">
        <v>22</v>
      </c>
      <c r="P1" s="234">
        <v>23</v>
      </c>
    </row>
    <row r="2" spans="2:22" x14ac:dyDescent="0.25">
      <c r="B2" s="239" t="s">
        <v>315</v>
      </c>
      <c r="R2" s="240" t="s">
        <v>313</v>
      </c>
      <c r="S2" s="241" t="s">
        <v>311</v>
      </c>
      <c r="T2" s="241" t="s">
        <v>312</v>
      </c>
      <c r="V2" s="242" t="s">
        <v>314</v>
      </c>
    </row>
    <row r="3" spans="2:22" ht="7.5" customHeight="1" x14ac:dyDescent="0.25">
      <c r="B3" s="233"/>
      <c r="V3" s="233"/>
    </row>
    <row r="4" spans="2:22" hidden="1" x14ac:dyDescent="0.25">
      <c r="B4" s="236" t="s">
        <v>301</v>
      </c>
      <c r="V4" s="233"/>
    </row>
    <row r="5" spans="2:22" hidden="1" x14ac:dyDescent="0.25">
      <c r="B5" s="236" t="s">
        <v>302</v>
      </c>
      <c r="V5" s="233"/>
    </row>
    <row r="6" spans="2:22" hidden="1" x14ac:dyDescent="0.25">
      <c r="B6" s="236" t="s">
        <v>299</v>
      </c>
      <c r="V6" s="233"/>
    </row>
    <row r="7" spans="2:22" x14ac:dyDescent="0.25">
      <c r="B7" s="235" t="s">
        <v>305</v>
      </c>
      <c r="C7" s="251">
        <v>1</v>
      </c>
      <c r="D7">
        <f ca="1">INDIRECT("'" &amp; $B7 &amp;"'!D" &amp; D$1)</f>
        <v>3</v>
      </c>
      <c r="E7">
        <f ca="1">INDIRECT("'" &amp; $B7 &amp;"'!D" &amp; E$1)</f>
        <v>3</v>
      </c>
      <c r="F7">
        <f ca="1">INDIRECT("'" &amp; $B7 &amp;"'!D" &amp; F$1)</f>
        <v>3</v>
      </c>
      <c r="G7">
        <f ca="1">INDIRECT("'" &amp; $B7 &amp;"'!D" &amp; G$1)</f>
        <v>1</v>
      </c>
      <c r="H7">
        <f ca="1">INDIRECT("'" &amp; $B7 &amp;"'!D" &amp; H$1)</f>
        <v>3</v>
      </c>
      <c r="I7">
        <f ca="1">INDIRECT("'" &amp; $B7 &amp;"'!D" &amp; I$1)</f>
        <v>3</v>
      </c>
      <c r="K7">
        <f ca="1">INDIRECT("'" &amp; $B7 &amp;"'!G" &amp; K$1)</f>
        <v>3</v>
      </c>
      <c r="L7">
        <f ca="1">INDIRECT("'" &amp; $B7 &amp;"'!G" &amp; L$1)</f>
        <v>3</v>
      </c>
      <c r="M7">
        <f ca="1">INDIRECT("'" &amp; $B7 &amp;"'!G" &amp; M$1)</f>
        <v>1</v>
      </c>
      <c r="N7">
        <f ca="1">INDIRECT("'" &amp; $B7 &amp;"'!G" &amp; N$1)</f>
        <v>3</v>
      </c>
      <c r="O7">
        <f ca="1">INDIRECT("'" &amp; $B7 &amp;"'!G" &amp; O$1)</f>
        <v>3</v>
      </c>
      <c r="P7">
        <f ca="1">INDIRECT("'" &amp; $B7 &amp;"'!G" &amp; P$1)</f>
        <v>3</v>
      </c>
      <c r="R7" s="237">
        <f ca="1">SUM(D7:P7)/36</f>
        <v>0.88888888888888884</v>
      </c>
      <c r="S7" s="238">
        <f ca="1">SUM(D7:I7)/18</f>
        <v>0.88888888888888884</v>
      </c>
      <c r="T7" s="238">
        <f ca="1">SUM(K7:P7)/18</f>
        <v>0.88888888888888884</v>
      </c>
      <c r="V7" s="236" t="s">
        <v>318</v>
      </c>
    </row>
    <row r="8" spans="2:22" x14ac:dyDescent="0.25">
      <c r="B8" s="235" t="s">
        <v>286</v>
      </c>
      <c r="C8" s="251">
        <v>2</v>
      </c>
      <c r="D8">
        <f ca="1">INDIRECT("'" &amp; $B8 &amp;"'!D" &amp; D$1)</f>
        <v>1</v>
      </c>
      <c r="E8">
        <f ca="1">INDIRECT("'" &amp; $B8 &amp;"'!D" &amp; E$1)</f>
        <v>3</v>
      </c>
      <c r="F8">
        <f ca="1">INDIRECT("'" &amp; $B8 &amp;"'!D" &amp; F$1)</f>
        <v>3</v>
      </c>
      <c r="G8">
        <f ca="1">INDIRECT("'" &amp; $B8 &amp;"'!D" &amp; G$1)</f>
        <v>3</v>
      </c>
      <c r="H8">
        <f ca="1">INDIRECT("'" &amp; $B8 &amp;"'!D" &amp; H$1)</f>
        <v>3</v>
      </c>
      <c r="I8">
        <f ca="1">INDIRECT("'" &amp; $B8 &amp;"'!D" &amp; I$1)</f>
        <v>3</v>
      </c>
      <c r="K8">
        <f ca="1">INDIRECT("'" &amp; $B8 &amp;"'!G" &amp; K$1)</f>
        <v>1</v>
      </c>
      <c r="L8">
        <f ca="1">INDIRECT("'" &amp; $B8 &amp;"'!G" &amp; L$1)</f>
        <v>1</v>
      </c>
      <c r="M8">
        <f ca="1">INDIRECT("'" &amp; $B8 &amp;"'!G" &amp; M$1)</f>
        <v>3</v>
      </c>
      <c r="N8">
        <f ca="1">INDIRECT("'" &amp; $B8 &amp;"'!G" &amp; N$1)</f>
        <v>3</v>
      </c>
      <c r="O8">
        <f ca="1">INDIRECT("'" &amp; $B8 &amp;"'!G" &amp; O$1)</f>
        <v>3</v>
      </c>
      <c r="P8">
        <f ca="1">INDIRECT("'" &amp; $B8 &amp;"'!G" &amp; P$1)</f>
        <v>1</v>
      </c>
      <c r="R8" s="237">
        <f ca="1">SUM(D8:P8)/36</f>
        <v>0.77777777777777779</v>
      </c>
      <c r="S8" s="238">
        <f ca="1">SUM(D8:I8)/18</f>
        <v>0.88888888888888884</v>
      </c>
      <c r="T8" s="238">
        <f ca="1">SUM(K8:P8)/18</f>
        <v>0.66666666666666663</v>
      </c>
      <c r="V8" s="236" t="s">
        <v>316</v>
      </c>
    </row>
    <row r="9" spans="2:22" ht="15.75" thickBot="1" x14ac:dyDescent="0.3">
      <c r="B9" s="247" t="s">
        <v>307</v>
      </c>
      <c r="C9" s="251">
        <v>3</v>
      </c>
      <c r="D9">
        <f ca="1">INDIRECT("'" &amp; $B9 &amp;"'!D" &amp; D$1)</f>
        <v>3</v>
      </c>
      <c r="E9">
        <f ca="1">INDIRECT("'" &amp; $B9 &amp;"'!D" &amp; E$1)</f>
        <v>3</v>
      </c>
      <c r="F9">
        <f ca="1">INDIRECT("'" &amp; $B9 &amp;"'!D" &amp; F$1)</f>
        <v>0</v>
      </c>
      <c r="G9">
        <f ca="1">INDIRECT("'" &amp; $B9 &amp;"'!D" &amp; G$1)</f>
        <v>1</v>
      </c>
      <c r="H9">
        <f ca="1">INDIRECT("'" &amp; $B9 &amp;"'!D" &amp; H$1)</f>
        <v>3</v>
      </c>
      <c r="I9">
        <f ca="1">INDIRECT("'" &amp; $B9 &amp;"'!D" &amp; I$1)</f>
        <v>0</v>
      </c>
      <c r="K9">
        <f ca="1">INDIRECT("'" &amp; $B9 &amp;"'!G" &amp; K$1)</f>
        <v>3</v>
      </c>
      <c r="L9">
        <f ca="1">INDIRECT("'" &amp; $B9 &amp;"'!G" &amp; L$1)</f>
        <v>3</v>
      </c>
      <c r="M9">
        <f ca="1">INDIRECT("'" &amp; $B9 &amp;"'!G" &amp; M$1)</f>
        <v>3</v>
      </c>
      <c r="N9">
        <f ca="1">INDIRECT("'" &amp; $B9 &amp;"'!G" &amp; N$1)</f>
        <v>3</v>
      </c>
      <c r="O9">
        <f ca="1">INDIRECT("'" &amp; $B9 &amp;"'!G" &amp; O$1)</f>
        <v>3</v>
      </c>
      <c r="P9">
        <f ca="1">INDIRECT("'" &amp; $B9 &amp;"'!G" &amp; P$1)</f>
        <v>1</v>
      </c>
      <c r="R9" s="248">
        <f ca="1">SUM(D9:P9)/36</f>
        <v>0.72222222222222221</v>
      </c>
      <c r="S9" s="249">
        <f ca="1">SUM(D9:I9)/18</f>
        <v>0.55555555555555558</v>
      </c>
      <c r="T9" s="249">
        <f ca="1">SUM(K9:P9)/18</f>
        <v>0.88888888888888884</v>
      </c>
      <c r="V9" s="250" t="s">
        <v>317</v>
      </c>
    </row>
    <row r="10" spans="2:22" x14ac:dyDescent="0.25">
      <c r="B10" s="243" t="s">
        <v>306</v>
      </c>
      <c r="C10" s="251">
        <v>4</v>
      </c>
      <c r="D10">
        <f ca="1">INDIRECT("'" &amp; $B10 &amp;"'!D" &amp; D$1)</f>
        <v>0</v>
      </c>
      <c r="E10">
        <f ca="1">INDIRECT("'" &amp; $B10 &amp;"'!D" &amp; E$1)</f>
        <v>1</v>
      </c>
      <c r="F10">
        <f ca="1">INDIRECT("'" &amp; $B10 &amp;"'!D" &amp; F$1)</f>
        <v>3</v>
      </c>
      <c r="G10">
        <f ca="1">INDIRECT("'" &amp; $B10 &amp;"'!D" &amp; G$1)</f>
        <v>3</v>
      </c>
      <c r="H10">
        <f ca="1">INDIRECT("'" &amp; $B10 &amp;"'!D" &amp; H$1)</f>
        <v>3</v>
      </c>
      <c r="I10">
        <f ca="1">INDIRECT("'" &amp; $B10 &amp;"'!D" &amp; I$1)</f>
        <v>3</v>
      </c>
      <c r="K10">
        <f ca="1">INDIRECT("'" &amp; $B10 &amp;"'!G" &amp; K$1)</f>
        <v>1</v>
      </c>
      <c r="L10">
        <f ca="1">INDIRECT("'" &amp; $B10 &amp;"'!G" &amp; L$1)</f>
        <v>3</v>
      </c>
      <c r="M10">
        <f ca="1">INDIRECT("'" &amp; $B10 &amp;"'!G" &amp; M$1)</f>
        <v>3</v>
      </c>
      <c r="N10">
        <f ca="1">INDIRECT("'" &amp; $B10 &amp;"'!G" &amp; N$1)</f>
        <v>1</v>
      </c>
      <c r="O10">
        <f ca="1">INDIRECT("'" &amp; $B10 &amp;"'!G" &amp; O$1)</f>
        <v>1</v>
      </c>
      <c r="P10">
        <f ca="1">INDIRECT("'" &amp; $B10 &amp;"'!G" &amp; P$1)</f>
        <v>3</v>
      </c>
      <c r="R10" s="244">
        <f ca="1">SUM(D10:P10)/36</f>
        <v>0.69444444444444442</v>
      </c>
      <c r="S10" s="245">
        <f ca="1">SUM(D10:I10)/18</f>
        <v>0.72222222222222221</v>
      </c>
      <c r="T10" s="245">
        <f ca="1">SUM(K10:P10)/18</f>
        <v>0.66666666666666663</v>
      </c>
      <c r="V10" s="246" t="s">
        <v>327</v>
      </c>
    </row>
    <row r="11" spans="2:22" x14ac:dyDescent="0.25">
      <c r="B11" s="235" t="s">
        <v>247</v>
      </c>
      <c r="C11" s="251">
        <v>5</v>
      </c>
      <c r="D11">
        <f ca="1">INDIRECT("'" &amp; $B11 &amp;"'!D" &amp; D$1)</f>
        <v>1</v>
      </c>
      <c r="E11">
        <f ca="1">INDIRECT("'" &amp; $B11 &amp;"'!D" &amp; E$1)</f>
        <v>1</v>
      </c>
      <c r="F11">
        <f ca="1">INDIRECT("'" &amp; $B11 &amp;"'!D" &amp; F$1)</f>
        <v>3</v>
      </c>
      <c r="G11">
        <f ca="1">INDIRECT("'" &amp; $B11 &amp;"'!D" &amp; G$1)</f>
        <v>3</v>
      </c>
      <c r="H11">
        <f ca="1">INDIRECT("'" &amp; $B11 &amp;"'!D" &amp; H$1)</f>
        <v>1</v>
      </c>
      <c r="I11">
        <f ca="1">INDIRECT("'" &amp; $B11 &amp;"'!D" &amp; I$1)</f>
        <v>3</v>
      </c>
      <c r="K11">
        <f ca="1">INDIRECT("'" &amp; $B11 &amp;"'!G" &amp; K$1)</f>
        <v>0</v>
      </c>
      <c r="L11">
        <f ca="1">INDIRECT("'" &amp; $B11 &amp;"'!G" &amp; L$1)</f>
        <v>1</v>
      </c>
      <c r="M11">
        <f ca="1">INDIRECT("'" &amp; $B11 &amp;"'!G" &amp; M$1)</f>
        <v>3</v>
      </c>
      <c r="N11">
        <f ca="1">INDIRECT("'" &amp; $B11 &amp;"'!G" &amp; N$1)</f>
        <v>1</v>
      </c>
      <c r="O11">
        <f ca="1">INDIRECT("'" &amp; $B11 &amp;"'!G" &amp; O$1)</f>
        <v>1</v>
      </c>
      <c r="P11">
        <f ca="1">INDIRECT("'" &amp; $B11 &amp;"'!G" &amp; P$1)</f>
        <v>1</v>
      </c>
      <c r="R11" s="237">
        <f ca="1">SUM(D11:P11)/36</f>
        <v>0.52777777777777779</v>
      </c>
      <c r="S11" s="238">
        <f ca="1">SUM(D11:I11)/18</f>
        <v>0.66666666666666663</v>
      </c>
      <c r="T11" s="238">
        <f ca="1">SUM(K11:P11)/18</f>
        <v>0.3888888888888889</v>
      </c>
      <c r="V11" s="236" t="s">
        <v>322</v>
      </c>
    </row>
    <row r="12" spans="2:22" x14ac:dyDescent="0.25">
      <c r="B12" s="235" t="s">
        <v>308</v>
      </c>
      <c r="C12" s="251">
        <v>6</v>
      </c>
      <c r="D12">
        <f ca="1">INDIRECT("'" &amp; $B12 &amp;"'!D" &amp; D$1)</f>
        <v>3</v>
      </c>
      <c r="E12">
        <f ca="1">INDIRECT("'" &amp; $B12 &amp;"'!D" &amp; E$1)</f>
        <v>3</v>
      </c>
      <c r="F12">
        <f ca="1">INDIRECT("'" &amp; $B12 &amp;"'!D" &amp; F$1)</f>
        <v>0</v>
      </c>
      <c r="G12">
        <f ca="1">INDIRECT("'" &amp; $B12 &amp;"'!D" &amp; G$1)</f>
        <v>0</v>
      </c>
      <c r="H12">
        <f ca="1">INDIRECT("'" &amp; $B12 &amp;"'!D" &amp; H$1)</f>
        <v>3</v>
      </c>
      <c r="I12">
        <f ca="1">INDIRECT("'" &amp; $B12 &amp;"'!D" &amp; I$1)</f>
        <v>0</v>
      </c>
      <c r="K12">
        <f ca="1">INDIRECT("'" &amp; $B12 &amp;"'!G" &amp; K$1)</f>
        <v>3</v>
      </c>
      <c r="L12">
        <f ca="1">INDIRECT("'" &amp; $B12 &amp;"'!G" &amp; L$1)</f>
        <v>3</v>
      </c>
      <c r="M12">
        <f ca="1">INDIRECT("'" &amp; $B12 &amp;"'!G" &amp; M$1)</f>
        <v>0</v>
      </c>
      <c r="N12">
        <f ca="1">INDIRECT("'" &amp; $B12 &amp;"'!G" &amp; N$1)</f>
        <v>1</v>
      </c>
      <c r="O12">
        <f ca="1">INDIRECT("'" &amp; $B12 &amp;"'!G" &amp; O$1)</f>
        <v>1</v>
      </c>
      <c r="P12">
        <f ca="1">INDIRECT("'" &amp; $B12 &amp;"'!G" &amp; P$1)</f>
        <v>0</v>
      </c>
      <c r="R12" s="237">
        <f ca="1">SUM(D12:P12)/36</f>
        <v>0.47222222222222221</v>
      </c>
      <c r="S12" s="238">
        <f ca="1">SUM(D12:I12)/18</f>
        <v>0.5</v>
      </c>
      <c r="T12" s="238">
        <f ca="1">SUM(K12:P12)/18</f>
        <v>0.44444444444444442</v>
      </c>
      <c r="V12" s="236" t="s">
        <v>328</v>
      </c>
    </row>
    <row r="13" spans="2:22" x14ac:dyDescent="0.25">
      <c r="B13" s="235" t="s">
        <v>303</v>
      </c>
      <c r="C13" s="251">
        <v>7</v>
      </c>
      <c r="D13">
        <f ca="1">INDIRECT("'" &amp; $B13 &amp;"'!D" &amp; D$1)</f>
        <v>0</v>
      </c>
      <c r="E13">
        <f ca="1">INDIRECT("'" &amp; $B13 &amp;"'!D" &amp; E$1)</f>
        <v>0</v>
      </c>
      <c r="F13">
        <f ca="1">INDIRECT("'" &amp; $B13 &amp;"'!D" &amp; F$1)</f>
        <v>0</v>
      </c>
      <c r="G13">
        <f ca="1">INDIRECT("'" &amp; $B13 &amp;"'!D" &amp; G$1)</f>
        <v>3</v>
      </c>
      <c r="H13">
        <f ca="1">INDIRECT("'" &amp; $B13 &amp;"'!D" &amp; H$1)</f>
        <v>0</v>
      </c>
      <c r="I13">
        <f ca="1">INDIRECT("'" &amp; $B13 &amp;"'!D" &amp; I$1)</f>
        <v>3</v>
      </c>
      <c r="K13">
        <f ca="1">INDIRECT("'" &amp; $B13 &amp;"'!G" &amp; K$1)</f>
        <v>0</v>
      </c>
      <c r="L13">
        <f ca="1">INDIRECT("'" &amp; $B13 &amp;"'!G" &amp; L$1)</f>
        <v>0</v>
      </c>
      <c r="M13">
        <f ca="1">INDIRECT("'" &amp; $B13 &amp;"'!G" &amp; M$1)</f>
        <v>3</v>
      </c>
      <c r="N13">
        <f ca="1">INDIRECT("'" &amp; $B13 &amp;"'!G" &amp; N$1)</f>
        <v>3</v>
      </c>
      <c r="O13">
        <f ca="1">INDIRECT("'" &amp; $B13 &amp;"'!G" &amp; O$1)</f>
        <v>3</v>
      </c>
      <c r="P13">
        <f ca="1">INDIRECT("'" &amp; $B13 &amp;"'!G" &amp; P$1)</f>
        <v>1</v>
      </c>
      <c r="R13" s="237">
        <f ca="1">SUM(D13:P13)/36</f>
        <v>0.44444444444444442</v>
      </c>
      <c r="S13" s="238">
        <f ca="1">SUM(D13:I13)/18</f>
        <v>0.33333333333333331</v>
      </c>
      <c r="T13" s="238">
        <f ca="1">SUM(K13:P13)/18</f>
        <v>0.55555555555555558</v>
      </c>
      <c r="V13" s="236" t="s">
        <v>319</v>
      </c>
    </row>
    <row r="14" spans="2:22" x14ac:dyDescent="0.25">
      <c r="B14" s="235" t="s">
        <v>309</v>
      </c>
      <c r="C14" s="251">
        <v>8</v>
      </c>
      <c r="D14">
        <f ca="1">INDIRECT("'" &amp; $B14 &amp;"'!D" &amp; D$1)</f>
        <v>3</v>
      </c>
      <c r="E14">
        <f ca="1">INDIRECT("'" &amp; $B14 &amp;"'!D" &amp; E$1)</f>
        <v>3</v>
      </c>
      <c r="F14">
        <f ca="1">INDIRECT("'" &amp; $B14 &amp;"'!D" &amp; F$1)</f>
        <v>0</v>
      </c>
      <c r="G14">
        <f ca="1">INDIRECT("'" &amp; $B14 &amp;"'!D" &amp; G$1)</f>
        <v>0</v>
      </c>
      <c r="H14">
        <f ca="1">INDIRECT("'" &amp; $B14 &amp;"'!D" &amp; H$1)</f>
        <v>1</v>
      </c>
      <c r="I14">
        <f ca="1">INDIRECT("'" &amp; $B14 &amp;"'!D" &amp; I$1)</f>
        <v>0</v>
      </c>
      <c r="K14">
        <f ca="1">INDIRECT("'" &amp; $B14 &amp;"'!G" &amp; K$1)</f>
        <v>1</v>
      </c>
      <c r="L14">
        <f ca="1">INDIRECT("'" &amp; $B14 &amp;"'!G" &amp; L$1)</f>
        <v>3</v>
      </c>
      <c r="M14">
        <f ca="1">INDIRECT("'" &amp; $B14 &amp;"'!G" &amp; M$1)</f>
        <v>0</v>
      </c>
      <c r="N14">
        <f ca="1">INDIRECT("'" &amp; $B14 &amp;"'!G" &amp; N$1)</f>
        <v>3</v>
      </c>
      <c r="O14">
        <f ca="1">INDIRECT("'" &amp; $B14 &amp;"'!G" &amp; O$1)</f>
        <v>1</v>
      </c>
      <c r="P14">
        <f ca="1">INDIRECT("'" &amp; $B14 &amp;"'!G" &amp; P$1)</f>
        <v>1</v>
      </c>
      <c r="R14" s="237">
        <f ca="1">SUM(D14:P14)/36</f>
        <v>0.44444444444444442</v>
      </c>
      <c r="S14" s="238">
        <f ca="1">SUM(D14:I14)/18</f>
        <v>0.3888888888888889</v>
      </c>
      <c r="T14" s="238">
        <f ca="1">SUM(K14:P14)/18</f>
        <v>0.5</v>
      </c>
      <c r="V14" s="236" t="s">
        <v>320</v>
      </c>
    </row>
    <row r="15" spans="2:22" x14ac:dyDescent="0.25">
      <c r="B15" s="235" t="s">
        <v>246</v>
      </c>
      <c r="C15" s="251">
        <v>9</v>
      </c>
      <c r="D15">
        <f ca="1">INDIRECT("'" &amp; $B15 &amp;"'!D" &amp; D$1)</f>
        <v>0</v>
      </c>
      <c r="E15">
        <f ca="1">INDIRECT("'" &amp; $B15 &amp;"'!D" &amp; E$1)</f>
        <v>0</v>
      </c>
      <c r="F15">
        <f ca="1">INDIRECT("'" &amp; $B15 &amp;"'!D" &amp; F$1)</f>
        <v>1</v>
      </c>
      <c r="G15">
        <f ca="1">INDIRECT("'" &amp; $B15 &amp;"'!D" &amp; G$1)</f>
        <v>3</v>
      </c>
      <c r="H15">
        <f ca="1">INDIRECT("'" &amp; $B15 &amp;"'!D" &amp; H$1)</f>
        <v>3</v>
      </c>
      <c r="I15">
        <f ca="1">INDIRECT("'" &amp; $B15 &amp;"'!D" &amp; I$1)</f>
        <v>1</v>
      </c>
      <c r="K15">
        <f ca="1">INDIRECT("'" &amp; $B15 &amp;"'!G" &amp; K$1)</f>
        <v>0</v>
      </c>
      <c r="L15">
        <f ca="1">INDIRECT("'" &amp; $B15 &amp;"'!G" &amp; L$1)</f>
        <v>0</v>
      </c>
      <c r="M15">
        <f ca="1">INDIRECT("'" &amp; $B15 &amp;"'!G" &amp; M$1)</f>
        <v>0</v>
      </c>
      <c r="N15">
        <f ca="1">INDIRECT("'" &amp; $B15 &amp;"'!G" &amp; N$1)</f>
        <v>3</v>
      </c>
      <c r="O15">
        <f ca="1">INDIRECT("'" &amp; $B15 &amp;"'!G" &amp; O$1)</f>
        <v>3</v>
      </c>
      <c r="P15">
        <f ca="1">INDIRECT("'" &amp; $B15 &amp;"'!G" &amp; P$1)</f>
        <v>1</v>
      </c>
      <c r="R15" s="237">
        <f ca="1">SUM(D15:P15)/36</f>
        <v>0.41666666666666669</v>
      </c>
      <c r="S15" s="238">
        <f ca="1">SUM(D15:I15)/18</f>
        <v>0.44444444444444442</v>
      </c>
      <c r="T15" s="238">
        <f ca="1">SUM(K15:P15)/18</f>
        <v>0.3888888888888889</v>
      </c>
      <c r="V15" s="236" t="s">
        <v>321</v>
      </c>
    </row>
    <row r="16" spans="2:22" x14ac:dyDescent="0.25">
      <c r="B16" s="235" t="s">
        <v>300</v>
      </c>
      <c r="C16" s="251">
        <v>10</v>
      </c>
      <c r="D16">
        <f ca="1">INDIRECT("'" &amp; $B16 &amp;"'!D" &amp; D$1)</f>
        <v>1</v>
      </c>
      <c r="E16">
        <f ca="1">INDIRECT("'" &amp; $B16 &amp;"'!D" &amp; E$1)</f>
        <v>0</v>
      </c>
      <c r="F16">
        <f ca="1">INDIRECT("'" &amp; $B16 &amp;"'!D" &amp; F$1)</f>
        <v>3</v>
      </c>
      <c r="G16">
        <f ca="1">INDIRECT("'" &amp; $B16 &amp;"'!D" &amp; G$1)</f>
        <v>3</v>
      </c>
      <c r="H16">
        <f ca="1">INDIRECT("'" &amp; $B16 &amp;"'!D" &amp; H$1)</f>
        <v>3</v>
      </c>
      <c r="I16">
        <f ca="1">INDIRECT("'" &amp; $B16 &amp;"'!D" &amp; I$1)</f>
        <v>3</v>
      </c>
      <c r="K16">
        <f ca="1">INDIRECT("'" &amp; $B16 &amp;"'!G" &amp; K$1)</f>
        <v>0</v>
      </c>
      <c r="L16">
        <f ca="1">INDIRECT("'" &amp; $B16 &amp;"'!G" &amp; L$1)</f>
        <v>0</v>
      </c>
      <c r="M16">
        <f ca="1">INDIRECT("'" &amp; $B16 &amp;"'!G" &amp; M$1)</f>
        <v>0</v>
      </c>
      <c r="N16">
        <f ca="1">INDIRECT("'" &amp; $B16 &amp;"'!G" &amp; N$1)</f>
        <v>0</v>
      </c>
      <c r="O16">
        <f ca="1">INDIRECT("'" &amp; $B16 &amp;"'!G" &amp; O$1)</f>
        <v>0</v>
      </c>
      <c r="P16">
        <f ca="1">INDIRECT("'" &amp; $B16 &amp;"'!G" &amp; P$1)</f>
        <v>1</v>
      </c>
      <c r="R16" s="237">
        <f ca="1">SUM(D16:P16)/36</f>
        <v>0.3888888888888889</v>
      </c>
      <c r="S16" s="238">
        <f ca="1">SUM(D16:I16)/18</f>
        <v>0.72222222222222221</v>
      </c>
      <c r="T16" s="238">
        <f ca="1">SUM(K16:P16)/18</f>
        <v>5.5555555555555552E-2</v>
      </c>
      <c r="V16" s="236" t="s">
        <v>323</v>
      </c>
    </row>
    <row r="17" spans="2:22" x14ac:dyDescent="0.25">
      <c r="B17" s="235" t="s">
        <v>220</v>
      </c>
      <c r="C17" s="251">
        <v>11</v>
      </c>
      <c r="D17">
        <f ca="1">INDIRECT("'" &amp; $B17 &amp;"'!D" &amp; D$1)</f>
        <v>0</v>
      </c>
      <c r="E17">
        <f ca="1">INDIRECT("'" &amp; $B17 &amp;"'!D" &amp; E$1)</f>
        <v>0</v>
      </c>
      <c r="F17">
        <f ca="1">INDIRECT("'" &amp; $B17 &amp;"'!D" &amp; F$1)</f>
        <v>3</v>
      </c>
      <c r="G17">
        <f ca="1">INDIRECT("'" &amp; $B17 &amp;"'!D" &amp; G$1)</f>
        <v>3</v>
      </c>
      <c r="H17">
        <f ca="1">INDIRECT("'" &amp; $B17 &amp;"'!D" &amp; H$1)</f>
        <v>1</v>
      </c>
      <c r="I17">
        <f ca="1">INDIRECT("'" &amp; $B17 &amp;"'!D" &amp; I$1)</f>
        <v>3</v>
      </c>
      <c r="K17">
        <f ca="1">INDIRECT("'" &amp; $B17 &amp;"'!G" &amp; K$1)</f>
        <v>0</v>
      </c>
      <c r="L17">
        <f ca="1">INDIRECT("'" &amp; $B17 &amp;"'!G" &amp; L$1)</f>
        <v>0</v>
      </c>
      <c r="M17">
        <f ca="1">INDIRECT("'" &amp; $B17 &amp;"'!G" &amp; M$1)</f>
        <v>3</v>
      </c>
      <c r="N17">
        <f ca="1">INDIRECT("'" &amp; $B17 &amp;"'!G" &amp; N$1)</f>
        <v>0</v>
      </c>
      <c r="O17">
        <f ca="1">INDIRECT("'" &amp; $B17 &amp;"'!G" &amp; O$1)</f>
        <v>0</v>
      </c>
      <c r="P17">
        <f ca="1">INDIRECT("'" &amp; $B17 &amp;"'!G" &amp; P$1)</f>
        <v>1</v>
      </c>
      <c r="R17" s="237">
        <f ca="1">SUM(D17:P17)/36</f>
        <v>0.3888888888888889</v>
      </c>
      <c r="S17" s="238">
        <f ca="1">SUM(D17:I17)/18</f>
        <v>0.55555555555555558</v>
      </c>
      <c r="T17" s="238">
        <f ca="1">SUM(K17:P17)/18</f>
        <v>0.22222222222222221</v>
      </c>
      <c r="V17" s="236" t="s">
        <v>324</v>
      </c>
    </row>
    <row r="18" spans="2:22" x14ac:dyDescent="0.25">
      <c r="B18" s="235" t="s">
        <v>304</v>
      </c>
      <c r="C18" s="251">
        <v>12</v>
      </c>
      <c r="D18">
        <f ca="1">INDIRECT("'" &amp; $B18 &amp;"'!D" &amp; D$1)</f>
        <v>1</v>
      </c>
      <c r="E18">
        <f ca="1">INDIRECT("'" &amp; $B18 &amp;"'!D" &amp; E$1)</f>
        <v>1</v>
      </c>
      <c r="F18">
        <f ca="1">INDIRECT("'" &amp; $B18 &amp;"'!D" &amp; F$1)</f>
        <v>3</v>
      </c>
      <c r="G18">
        <f ca="1">INDIRECT("'" &amp; $B18 &amp;"'!D" &amp; G$1)</f>
        <v>1</v>
      </c>
      <c r="H18">
        <f ca="1">INDIRECT("'" &amp; $B18 &amp;"'!D" &amp; H$1)</f>
        <v>1</v>
      </c>
      <c r="I18">
        <f ca="1">INDIRECT("'" &amp; $B18 &amp;"'!D" &amp; I$1)</f>
        <v>1</v>
      </c>
      <c r="K18">
        <f ca="1">INDIRECT("'" &amp; $B18 &amp;"'!G" &amp; K$1)</f>
        <v>1</v>
      </c>
      <c r="L18">
        <f ca="1">INDIRECT("'" &amp; $B18 &amp;"'!G" &amp; L$1)</f>
        <v>1</v>
      </c>
      <c r="M18">
        <f ca="1">INDIRECT("'" &amp; $B18 &amp;"'!G" &amp; M$1)</f>
        <v>0</v>
      </c>
      <c r="N18">
        <f ca="1">INDIRECT("'" &amp; $B18 &amp;"'!G" &amp; N$1)</f>
        <v>0</v>
      </c>
      <c r="O18">
        <f ca="1">INDIRECT("'" &amp; $B18 &amp;"'!G" &amp; O$1)</f>
        <v>0</v>
      </c>
      <c r="P18">
        <f ca="1">INDIRECT("'" &amp; $B18 &amp;"'!G" &amp; P$1)</f>
        <v>1</v>
      </c>
      <c r="R18" s="237">
        <f ca="1">SUM(D18:P18)/36</f>
        <v>0.30555555555555558</v>
      </c>
      <c r="S18" s="238">
        <f ca="1">SUM(D18:I18)/18</f>
        <v>0.44444444444444442</v>
      </c>
      <c r="T18" s="238">
        <f ca="1">SUM(K18:P18)/18</f>
        <v>0.16666666666666666</v>
      </c>
      <c r="V18" s="236" t="s">
        <v>325</v>
      </c>
    </row>
    <row r="19" spans="2:22" x14ac:dyDescent="0.25">
      <c r="B19" s="235" t="s">
        <v>276</v>
      </c>
      <c r="C19" s="251">
        <v>13</v>
      </c>
      <c r="D19">
        <f ca="1">INDIRECT("'" &amp; $B19 &amp;"'!D" &amp; D$1)</f>
        <v>1</v>
      </c>
      <c r="E19">
        <f ca="1">INDIRECT("'" &amp; $B19 &amp;"'!D" &amp; E$1)</f>
        <v>0</v>
      </c>
      <c r="F19">
        <f ca="1">INDIRECT("'" &amp; $B19 &amp;"'!D" &amp; F$1)</f>
        <v>1</v>
      </c>
      <c r="G19">
        <f ca="1">INDIRECT("'" &amp; $B19 &amp;"'!D" &amp; G$1)</f>
        <v>3</v>
      </c>
      <c r="H19">
        <f ca="1">INDIRECT("'" &amp; $B19 &amp;"'!D" &amp; H$1)</f>
        <v>0</v>
      </c>
      <c r="I19">
        <f ca="1">INDIRECT("'" &amp; $B19 &amp;"'!D" &amp; I$1)</f>
        <v>3</v>
      </c>
      <c r="K19">
        <f ca="1">INDIRECT("'" &amp; $B19 &amp;"'!G" &amp; K$1)</f>
        <v>0</v>
      </c>
      <c r="L19">
        <f ca="1">INDIRECT("'" &amp; $B19 &amp;"'!G" &amp; L$1)</f>
        <v>0</v>
      </c>
      <c r="M19">
        <f ca="1">INDIRECT("'" &amp; $B19 &amp;"'!G" &amp; M$1)</f>
        <v>0</v>
      </c>
      <c r="N19">
        <f ca="1">INDIRECT("'" &amp; $B19 &amp;"'!G" &amp; N$1)</f>
        <v>1</v>
      </c>
      <c r="O19">
        <f ca="1">INDIRECT("'" &amp; $B19 &amp;"'!G" &amp; O$1)</f>
        <v>1</v>
      </c>
      <c r="P19">
        <f ca="1">INDIRECT("'" &amp; $B19 &amp;"'!G" &amp; P$1)</f>
        <v>0</v>
      </c>
      <c r="R19" s="237">
        <f ca="1">SUM(D19:P19)/36</f>
        <v>0.27777777777777779</v>
      </c>
      <c r="S19" s="238">
        <f ca="1">SUM(D19:I19)/18</f>
        <v>0.44444444444444442</v>
      </c>
      <c r="T19" s="238">
        <f ca="1">SUM(K19:P19)/18</f>
        <v>0.1111111111111111</v>
      </c>
      <c r="V19" s="236" t="s">
        <v>326</v>
      </c>
    </row>
    <row r="20" spans="2:22" hidden="1" x14ac:dyDescent="0.25">
      <c r="B20" s="234" t="s">
        <v>310</v>
      </c>
    </row>
  </sheetData>
  <sortState ref="B7:T19">
    <sortCondition descending="1" ref="R7:R1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C2:K44"/>
  <sheetViews>
    <sheetView showGridLines="0" workbookViewId="0"/>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213</v>
      </c>
      <c r="D2" s="210"/>
      <c r="E2" s="210"/>
      <c r="F2" s="210"/>
      <c r="G2" s="48"/>
    </row>
    <row r="3" spans="3:7" s="2" customFormat="1" ht="4.5" customHeight="1" x14ac:dyDescent="0.25"/>
    <row r="4" spans="3:7" s="2" customFormat="1" ht="15" customHeight="1" x14ac:dyDescent="0.25">
      <c r="C4" s="211" t="s">
        <v>69</v>
      </c>
      <c r="D4" s="211"/>
      <c r="F4" s="206" t="s">
        <v>170</v>
      </c>
      <c r="G4" s="206"/>
    </row>
    <row r="5" spans="3:7" s="2" customFormat="1" ht="15" customHeight="1" x14ac:dyDescent="0.25">
      <c r="C5" s="46" t="s">
        <v>77</v>
      </c>
      <c r="D5" s="46"/>
      <c r="F5" s="47" t="s">
        <v>141</v>
      </c>
      <c r="G5" s="47"/>
    </row>
    <row r="6" spans="3:7" s="2" customFormat="1" ht="15" hidden="1" customHeight="1" x14ac:dyDescent="0.25">
      <c r="C6" s="212" t="s">
        <v>84</v>
      </c>
      <c r="D6" s="212"/>
      <c r="F6" s="206" t="s">
        <v>80</v>
      </c>
      <c r="G6" s="206"/>
    </row>
    <row r="7" spans="3:7" s="2" customFormat="1" ht="15" hidden="1" customHeight="1" x14ac:dyDescent="0.25">
      <c r="C7" s="212" t="s">
        <v>85</v>
      </c>
      <c r="D7" s="212"/>
      <c r="F7" s="213" t="s">
        <v>81</v>
      </c>
      <c r="G7" s="213"/>
    </row>
    <row r="8" spans="3:7" s="2" customFormat="1" ht="15" customHeight="1" x14ac:dyDescent="0.25">
      <c r="C8" s="205" t="s">
        <v>83</v>
      </c>
      <c r="D8" s="205"/>
      <c r="F8" s="206" t="s">
        <v>219</v>
      </c>
      <c r="G8" s="206"/>
    </row>
    <row r="9" spans="3:7" ht="9.75" customHeight="1" x14ac:dyDescent="0.25"/>
    <row r="10" spans="3:7" ht="18.75" hidden="1" x14ac:dyDescent="0.25">
      <c r="C10" s="196" t="s">
        <v>93</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1</v>
      </c>
      <c r="F14" t="s">
        <v>209</v>
      </c>
      <c r="G14" s="24">
        <v>0</v>
      </c>
    </row>
    <row r="15" spans="3:7" ht="15.75" customHeight="1" x14ac:dyDescent="0.25">
      <c r="C15" t="s">
        <v>71</v>
      </c>
      <c r="D15" s="24">
        <v>0</v>
      </c>
      <c r="F15" s="21" t="s">
        <v>202</v>
      </c>
      <c r="G15" s="24">
        <v>0</v>
      </c>
    </row>
    <row r="16" spans="3:7" ht="15.75" customHeight="1" x14ac:dyDescent="0.25">
      <c r="C16" t="s">
        <v>72</v>
      </c>
      <c r="D16" s="24">
        <v>3</v>
      </c>
      <c r="F16" t="s">
        <v>205</v>
      </c>
      <c r="G16" s="24">
        <v>0</v>
      </c>
    </row>
    <row r="17" spans="3:7" ht="15.75" hidden="1" customHeight="1" x14ac:dyDescent="0.25">
      <c r="D17" s="24">
        <v>3</v>
      </c>
      <c r="G17" s="24">
        <v>3</v>
      </c>
    </row>
    <row r="18" spans="3:7" ht="9.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3</v>
      </c>
      <c r="F21" t="s">
        <v>206</v>
      </c>
      <c r="G21" s="24">
        <v>0</v>
      </c>
    </row>
    <row r="22" spans="3:7" ht="15.75" customHeight="1" x14ac:dyDescent="0.25">
      <c r="C22" t="s">
        <v>210</v>
      </c>
      <c r="D22" s="24">
        <v>3</v>
      </c>
      <c r="F22" t="s">
        <v>204</v>
      </c>
      <c r="G22" s="24">
        <v>0</v>
      </c>
    </row>
    <row r="23" spans="3:7" ht="15.75" customHeight="1" x14ac:dyDescent="0.25">
      <c r="C23" t="s">
        <v>91</v>
      </c>
      <c r="D23" s="24">
        <v>3</v>
      </c>
      <c r="F23" t="s">
        <v>203</v>
      </c>
      <c r="G23" s="24">
        <v>1</v>
      </c>
    </row>
    <row r="24" spans="3:7" ht="15.75" hidden="1" customHeight="1" x14ac:dyDescent="0.25">
      <c r="D24" s="24">
        <v>3</v>
      </c>
      <c r="G24" s="24">
        <v>3</v>
      </c>
    </row>
    <row r="25" spans="3:7" ht="9.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97.5" customHeight="1" x14ac:dyDescent="0.25">
      <c r="C29" s="199" t="s">
        <v>214</v>
      </c>
      <c r="D29" s="199"/>
      <c r="F29" s="200" t="s">
        <v>216</v>
      </c>
      <c r="G29" s="200"/>
    </row>
    <row r="30" spans="3:7" ht="4.5" customHeight="1" x14ac:dyDescent="0.25"/>
    <row r="31" spans="3:7" x14ac:dyDescent="0.25">
      <c r="C31" s="201" t="s">
        <v>2</v>
      </c>
      <c r="D31" s="201"/>
      <c r="F31" s="202" t="s">
        <v>1</v>
      </c>
      <c r="G31" s="202"/>
    </row>
    <row r="32" spans="3:7" ht="108.75" customHeight="1" x14ac:dyDescent="0.25">
      <c r="C32" s="203" t="s">
        <v>215</v>
      </c>
      <c r="D32" s="203"/>
      <c r="F32" s="204" t="s">
        <v>217</v>
      </c>
      <c r="G32" s="204"/>
    </row>
    <row r="33" spans="3:11" ht="9.75" customHeight="1" x14ac:dyDescent="0.25"/>
    <row r="34" spans="3:11" s="1" customFormat="1" ht="18.75" hidden="1" x14ac:dyDescent="0.25">
      <c r="C34" s="196" t="s">
        <v>0</v>
      </c>
      <c r="D34" s="196"/>
      <c r="E34" s="196"/>
      <c r="F34" s="196"/>
      <c r="G34" s="49"/>
      <c r="I34" t="s">
        <v>73</v>
      </c>
      <c r="K34" t="s">
        <v>70</v>
      </c>
    </row>
    <row r="35" spans="3:11" ht="4.5" hidden="1" customHeight="1" x14ac:dyDescent="0.25"/>
    <row r="36" spans="3:11" x14ac:dyDescent="0.25">
      <c r="C36" s="197" t="str">
        <f>"Score total : " &amp;G36&amp; " sur 36  - Pourcentage de scoring : " &amp; ROUND(100*(G36/36),2) &amp; " %"</f>
        <v>Score total : 14 sur 36  - Pourcentage de scoring : 38,89 %</v>
      </c>
      <c r="D36" s="197"/>
      <c r="E36" s="197"/>
      <c r="F36" s="197"/>
      <c r="G36" s="27">
        <f>SUM(D14:D16,D21:D23,G14:G16,G21:G23)</f>
        <v>14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198" t="s">
        <v>218</v>
      </c>
      <c r="D41" s="198"/>
      <c r="E41" s="198"/>
      <c r="F41" s="198"/>
      <c r="G41" s="198"/>
    </row>
    <row r="42" spans="3:11" x14ac:dyDescent="0.25">
      <c r="C42" s="198"/>
      <c r="D42" s="198"/>
      <c r="E42" s="198"/>
      <c r="F42" s="198"/>
      <c r="G42" s="198"/>
    </row>
    <row r="44" spans="3:11" x14ac:dyDescent="0.25">
      <c r="C44" s="30"/>
    </row>
  </sheetData>
  <mergeCells count="22">
    <mergeCell ref="C7:D7"/>
    <mergeCell ref="F7:G7"/>
    <mergeCell ref="C2:F2"/>
    <mergeCell ref="C4:D4"/>
    <mergeCell ref="F4:G4"/>
    <mergeCell ref="C6:D6"/>
    <mergeCell ref="F6:G6"/>
    <mergeCell ref="C8:D8"/>
    <mergeCell ref="F8:G8"/>
    <mergeCell ref="C10:G10"/>
    <mergeCell ref="C26:G26"/>
    <mergeCell ref="C28:D28"/>
    <mergeCell ref="F28:G28"/>
    <mergeCell ref="C34:F34"/>
    <mergeCell ref="C36:F36"/>
    <mergeCell ref="C41:G42"/>
    <mergeCell ref="C29:D29"/>
    <mergeCell ref="F29:G29"/>
    <mergeCell ref="C31:D31"/>
    <mergeCell ref="F31:G31"/>
    <mergeCell ref="C32:D32"/>
    <mergeCell ref="F32:G32"/>
  </mergeCells>
  <conditionalFormatting sqref="D14:D16">
    <cfRule type="iconSet" priority="10">
      <iconSet>
        <cfvo type="percent" val="0"/>
        <cfvo type="percent" val="33"/>
        <cfvo type="percent" val="67"/>
      </iconSet>
    </cfRule>
  </conditionalFormatting>
  <conditionalFormatting sqref="G18:G19">
    <cfRule type="iconSet" priority="9">
      <iconSet>
        <cfvo type="percent" val="0"/>
        <cfvo type="percent" val="33"/>
        <cfvo type="percent" val="67"/>
      </iconSet>
    </cfRule>
  </conditionalFormatting>
  <conditionalFormatting sqref="G36:G39">
    <cfRule type="iconSet" priority="8">
      <iconSet iconSet="5Rating">
        <cfvo type="percent" val="0"/>
        <cfvo type="percent" val="20"/>
        <cfvo type="percent" val="40"/>
        <cfvo type="percent" val="60"/>
        <cfvo type="percent" val="80"/>
      </iconSet>
    </cfRule>
  </conditionalFormatting>
  <conditionalFormatting sqref="D13:D19">
    <cfRule type="iconSet" priority="7">
      <iconSet>
        <cfvo type="percent" val="0"/>
        <cfvo type="percent" val="33"/>
        <cfvo type="percent" val="67"/>
      </iconSet>
    </cfRule>
  </conditionalFormatting>
  <conditionalFormatting sqref="D21:D23">
    <cfRule type="iconSet" priority="6">
      <iconSet>
        <cfvo type="percent" val="0"/>
        <cfvo type="percent" val="33"/>
        <cfvo type="percent" val="67"/>
      </iconSet>
    </cfRule>
  </conditionalFormatting>
  <conditionalFormatting sqref="D20:D24">
    <cfRule type="iconSet" priority="5">
      <iconSet>
        <cfvo type="percent" val="0"/>
        <cfvo type="percent" val="33"/>
        <cfvo type="percent" val="67"/>
      </iconSet>
    </cfRule>
  </conditionalFormatting>
  <conditionalFormatting sqref="G14:G16">
    <cfRule type="iconSet" priority="4">
      <iconSet>
        <cfvo type="percent" val="0"/>
        <cfvo type="percent" val="33"/>
        <cfvo type="percent" val="67"/>
      </iconSet>
    </cfRule>
  </conditionalFormatting>
  <conditionalFormatting sqref="G13:G17">
    <cfRule type="iconSet" priority="3">
      <iconSet>
        <cfvo type="percent" val="0"/>
        <cfvo type="percent" val="33"/>
        <cfvo type="percent" val="67"/>
      </iconSet>
    </cfRule>
  </conditionalFormatting>
  <conditionalFormatting sqref="G21:G23">
    <cfRule type="iconSet" priority="2">
      <iconSet>
        <cfvo type="percent" val="0"/>
        <cfvo type="percent" val="33"/>
        <cfvo type="percent" val="67"/>
      </iconSet>
    </cfRule>
  </conditionalFormatting>
  <conditionalFormatting sqref="G20:G24">
    <cfRule type="iconSet" priority="1">
      <iconSet>
        <cfvo type="percent" val="0"/>
        <cfvo type="percent" val="33"/>
        <cfvo type="percent" val="67"/>
      </iconSet>
    </cfRule>
  </conditionalFormatting>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C2:K44"/>
  <sheetViews>
    <sheetView showGridLines="0" topLeftCell="A30" workbookViewId="0">
      <selection activeCell="B1" sqref="B1:H43"/>
    </sheetView>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220</v>
      </c>
      <c r="D2" s="210"/>
      <c r="E2" s="210"/>
      <c r="F2" s="210"/>
      <c r="G2" s="48"/>
    </row>
    <row r="3" spans="3:7" s="2" customFormat="1" ht="4.5" customHeight="1" x14ac:dyDescent="0.25"/>
    <row r="4" spans="3:7" s="2" customFormat="1" ht="15" customHeight="1" x14ac:dyDescent="0.25">
      <c r="C4" s="211" t="s">
        <v>69</v>
      </c>
      <c r="D4" s="211"/>
      <c r="F4" s="206" t="s">
        <v>170</v>
      </c>
      <c r="G4" s="206"/>
    </row>
    <row r="5" spans="3:7" s="2" customFormat="1" ht="15" customHeight="1" x14ac:dyDescent="0.25">
      <c r="C5" s="46" t="s">
        <v>77</v>
      </c>
      <c r="D5" s="46"/>
      <c r="F5" s="47" t="s">
        <v>141</v>
      </c>
      <c r="G5" s="47"/>
    </row>
    <row r="6" spans="3:7" s="2" customFormat="1" ht="15" hidden="1" customHeight="1" x14ac:dyDescent="0.25">
      <c r="C6" s="212" t="s">
        <v>84</v>
      </c>
      <c r="D6" s="212"/>
      <c r="F6" s="206" t="s">
        <v>80</v>
      </c>
      <c r="G6" s="206"/>
    </row>
    <row r="7" spans="3:7" s="2" customFormat="1" ht="15" hidden="1" customHeight="1" x14ac:dyDescent="0.25">
      <c r="C7" s="212" t="s">
        <v>85</v>
      </c>
      <c r="D7" s="212"/>
      <c r="F7" s="213" t="s">
        <v>81</v>
      </c>
      <c r="G7" s="213"/>
    </row>
    <row r="8" spans="3:7" s="2" customFormat="1" ht="15" customHeight="1" x14ac:dyDescent="0.25">
      <c r="C8" s="205" t="s">
        <v>83</v>
      </c>
      <c r="D8" s="205"/>
      <c r="F8" s="206" t="s">
        <v>221</v>
      </c>
      <c r="G8" s="206"/>
    </row>
    <row r="9" spans="3:7" ht="9.75" customHeight="1" x14ac:dyDescent="0.25"/>
    <row r="10" spans="3:7" ht="18.75" hidden="1" x14ac:dyDescent="0.25">
      <c r="C10" s="196" t="s">
        <v>93</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0</v>
      </c>
      <c r="F14" t="s">
        <v>209</v>
      </c>
      <c r="G14" s="24">
        <v>0</v>
      </c>
    </row>
    <row r="15" spans="3:7" ht="15.75" customHeight="1" x14ac:dyDescent="0.25">
      <c r="C15" t="s">
        <v>71</v>
      </c>
      <c r="D15" s="24">
        <v>0</v>
      </c>
      <c r="F15" s="21" t="s">
        <v>202</v>
      </c>
      <c r="G15" s="24">
        <v>0</v>
      </c>
    </row>
    <row r="16" spans="3:7" ht="15.75" customHeight="1" x14ac:dyDescent="0.25">
      <c r="C16" t="s">
        <v>72</v>
      </c>
      <c r="D16" s="24">
        <v>3</v>
      </c>
      <c r="F16" t="s">
        <v>205</v>
      </c>
      <c r="G16" s="24">
        <v>3</v>
      </c>
    </row>
    <row r="17" spans="3:7" ht="15.75" hidden="1" customHeight="1" x14ac:dyDescent="0.25">
      <c r="D17" s="24">
        <v>3</v>
      </c>
      <c r="G17" s="24">
        <v>3</v>
      </c>
    </row>
    <row r="18" spans="3:7" ht="9.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3</v>
      </c>
      <c r="F21" t="s">
        <v>206</v>
      </c>
      <c r="G21" s="24">
        <v>0</v>
      </c>
    </row>
    <row r="22" spans="3:7" ht="15.75" customHeight="1" x14ac:dyDescent="0.25">
      <c r="C22" t="s">
        <v>210</v>
      </c>
      <c r="D22" s="24">
        <v>1</v>
      </c>
      <c r="F22" t="s">
        <v>204</v>
      </c>
      <c r="G22" s="24">
        <v>0</v>
      </c>
    </row>
    <row r="23" spans="3:7" ht="15.75" customHeight="1" x14ac:dyDescent="0.25">
      <c r="C23" t="s">
        <v>91</v>
      </c>
      <c r="D23" s="24">
        <v>3</v>
      </c>
      <c r="F23" t="s">
        <v>203</v>
      </c>
      <c r="G23" s="24">
        <v>1</v>
      </c>
    </row>
    <row r="24" spans="3:7" ht="15.75" hidden="1" customHeight="1" x14ac:dyDescent="0.25">
      <c r="D24" s="24">
        <v>3</v>
      </c>
      <c r="G24" s="24">
        <v>3</v>
      </c>
    </row>
    <row r="25" spans="3:7" ht="9.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126" customHeight="1" x14ac:dyDescent="0.25">
      <c r="C29" s="199" t="s">
        <v>223</v>
      </c>
      <c r="D29" s="199"/>
      <c r="F29" s="200" t="s">
        <v>263</v>
      </c>
      <c r="G29" s="200"/>
    </row>
    <row r="30" spans="3:7" ht="4.5" customHeight="1" x14ac:dyDescent="0.25"/>
    <row r="31" spans="3:7" x14ac:dyDescent="0.25">
      <c r="C31" s="201" t="s">
        <v>2</v>
      </c>
      <c r="D31" s="201"/>
      <c r="F31" s="202" t="s">
        <v>1</v>
      </c>
      <c r="G31" s="202"/>
    </row>
    <row r="32" spans="3:7" ht="108.75" customHeight="1" x14ac:dyDescent="0.25">
      <c r="C32" s="203" t="s">
        <v>222</v>
      </c>
      <c r="D32" s="203"/>
      <c r="F32" s="204" t="s">
        <v>217</v>
      </c>
      <c r="G32" s="204"/>
    </row>
    <row r="33" spans="3:11" ht="9.75" customHeight="1" x14ac:dyDescent="0.25"/>
    <row r="34" spans="3:11" s="1" customFormat="1" ht="18.75" hidden="1" x14ac:dyDescent="0.25">
      <c r="C34" s="196" t="s">
        <v>0</v>
      </c>
      <c r="D34" s="196"/>
      <c r="E34" s="196"/>
      <c r="F34" s="196"/>
      <c r="G34" s="49"/>
      <c r="I34" t="s">
        <v>73</v>
      </c>
      <c r="K34" t="s">
        <v>70</v>
      </c>
    </row>
    <row r="35" spans="3:11" ht="4.5" hidden="1" customHeight="1" x14ac:dyDescent="0.25"/>
    <row r="36" spans="3:11" x14ac:dyDescent="0.25">
      <c r="C36" s="197" t="str">
        <f>"Score total : " &amp;G36&amp; " sur 36  - Pourcentage de scoring : " &amp; ROUND(100*(G36/36),2) &amp; " %"</f>
        <v>Score total : 14 sur 36  - Pourcentage de scoring : 38,89 %</v>
      </c>
      <c r="D36" s="197"/>
      <c r="E36" s="197"/>
      <c r="F36" s="197"/>
      <c r="G36" s="27">
        <f>SUM(D14:D16,D21:D23,G14:G16,G21:G23)</f>
        <v>14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198" t="s">
        <v>218</v>
      </c>
      <c r="D41" s="198"/>
      <c r="E41" s="198"/>
      <c r="F41" s="198"/>
      <c r="G41" s="198"/>
    </row>
    <row r="42" spans="3:11" x14ac:dyDescent="0.25">
      <c r="C42" s="198"/>
      <c r="D42" s="198"/>
      <c r="E42" s="198"/>
      <c r="F42" s="198"/>
      <c r="G42" s="198"/>
    </row>
    <row r="44" spans="3:11" x14ac:dyDescent="0.25">
      <c r="C44" s="30"/>
    </row>
  </sheetData>
  <mergeCells count="22">
    <mergeCell ref="C7:D7"/>
    <mergeCell ref="F7:G7"/>
    <mergeCell ref="C2:F2"/>
    <mergeCell ref="C4:D4"/>
    <mergeCell ref="F4:G4"/>
    <mergeCell ref="C6:D6"/>
    <mergeCell ref="F6:G6"/>
    <mergeCell ref="C8:D8"/>
    <mergeCell ref="F8:G8"/>
    <mergeCell ref="C10:G10"/>
    <mergeCell ref="C26:G26"/>
    <mergeCell ref="C28:D28"/>
    <mergeCell ref="F28:G28"/>
    <mergeCell ref="C34:F34"/>
    <mergeCell ref="C36:F36"/>
    <mergeCell ref="C41:G42"/>
    <mergeCell ref="C29:D29"/>
    <mergeCell ref="F29:G29"/>
    <mergeCell ref="C31:D31"/>
    <mergeCell ref="F31:G31"/>
    <mergeCell ref="C32:D32"/>
    <mergeCell ref="F32:G32"/>
  </mergeCells>
  <conditionalFormatting sqref="D14:D16">
    <cfRule type="iconSet" priority="10">
      <iconSet>
        <cfvo type="percent" val="0"/>
        <cfvo type="percent" val="33"/>
        <cfvo type="percent" val="67"/>
      </iconSet>
    </cfRule>
  </conditionalFormatting>
  <conditionalFormatting sqref="G18:G19">
    <cfRule type="iconSet" priority="9">
      <iconSet>
        <cfvo type="percent" val="0"/>
        <cfvo type="percent" val="33"/>
        <cfvo type="percent" val="67"/>
      </iconSet>
    </cfRule>
  </conditionalFormatting>
  <conditionalFormatting sqref="G36:G39">
    <cfRule type="iconSet" priority="8">
      <iconSet iconSet="5Rating">
        <cfvo type="percent" val="0"/>
        <cfvo type="percent" val="20"/>
        <cfvo type="percent" val="40"/>
        <cfvo type="percent" val="60"/>
        <cfvo type="percent" val="80"/>
      </iconSet>
    </cfRule>
  </conditionalFormatting>
  <conditionalFormatting sqref="D13:D19">
    <cfRule type="iconSet" priority="7">
      <iconSet>
        <cfvo type="percent" val="0"/>
        <cfvo type="percent" val="33"/>
        <cfvo type="percent" val="67"/>
      </iconSet>
    </cfRule>
  </conditionalFormatting>
  <conditionalFormatting sqref="D21:D23">
    <cfRule type="iconSet" priority="6">
      <iconSet>
        <cfvo type="percent" val="0"/>
        <cfvo type="percent" val="33"/>
        <cfvo type="percent" val="67"/>
      </iconSet>
    </cfRule>
  </conditionalFormatting>
  <conditionalFormatting sqref="D20:D24">
    <cfRule type="iconSet" priority="5">
      <iconSet>
        <cfvo type="percent" val="0"/>
        <cfvo type="percent" val="33"/>
        <cfvo type="percent" val="67"/>
      </iconSet>
    </cfRule>
  </conditionalFormatting>
  <conditionalFormatting sqref="G14:G16">
    <cfRule type="iconSet" priority="4">
      <iconSet>
        <cfvo type="percent" val="0"/>
        <cfvo type="percent" val="33"/>
        <cfvo type="percent" val="67"/>
      </iconSet>
    </cfRule>
  </conditionalFormatting>
  <conditionalFormatting sqref="G13:G17">
    <cfRule type="iconSet" priority="3">
      <iconSet>
        <cfvo type="percent" val="0"/>
        <cfvo type="percent" val="33"/>
        <cfvo type="percent" val="67"/>
      </iconSet>
    </cfRule>
  </conditionalFormatting>
  <conditionalFormatting sqref="G21:G23">
    <cfRule type="iconSet" priority="2">
      <iconSet>
        <cfvo type="percent" val="0"/>
        <cfvo type="percent" val="33"/>
        <cfvo type="percent" val="67"/>
      </iconSet>
    </cfRule>
  </conditionalFormatting>
  <conditionalFormatting sqref="G20:G24">
    <cfRule type="iconSet" priority="1">
      <iconSet>
        <cfvo type="percent" val="0"/>
        <cfvo type="percent" val="33"/>
        <cfvo type="percent" val="67"/>
      </iconSet>
    </cfRule>
  </conditionalFormatting>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C2:K44"/>
  <sheetViews>
    <sheetView showGridLines="0" topLeftCell="A30" workbookViewId="0">
      <selection activeCell="B2" sqref="B2:H43"/>
    </sheetView>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225</v>
      </c>
      <c r="D2" s="210"/>
      <c r="E2" s="210"/>
      <c r="F2" s="210"/>
      <c r="G2" s="48"/>
    </row>
    <row r="3" spans="3:7" s="2" customFormat="1" ht="4.5" customHeight="1" x14ac:dyDescent="0.25"/>
    <row r="4" spans="3:7" s="2" customFormat="1" ht="15" customHeight="1" x14ac:dyDescent="0.25">
      <c r="C4" s="211" t="s">
        <v>69</v>
      </c>
      <c r="D4" s="211"/>
      <c r="F4" s="206" t="s">
        <v>170</v>
      </c>
      <c r="G4" s="206"/>
    </row>
    <row r="5" spans="3:7" s="2" customFormat="1" ht="15" customHeight="1" x14ac:dyDescent="0.25">
      <c r="C5" s="46" t="s">
        <v>77</v>
      </c>
      <c r="D5" s="46"/>
      <c r="F5" s="47" t="s">
        <v>141</v>
      </c>
      <c r="G5" s="47"/>
    </row>
    <row r="6" spans="3:7" s="2" customFormat="1" ht="15" hidden="1" customHeight="1" x14ac:dyDescent="0.25">
      <c r="C6" s="212" t="s">
        <v>84</v>
      </c>
      <c r="D6" s="212"/>
      <c r="F6" s="206" t="s">
        <v>80</v>
      </c>
      <c r="G6" s="206"/>
    </row>
    <row r="7" spans="3:7" s="2" customFormat="1" ht="15" hidden="1" customHeight="1" x14ac:dyDescent="0.25">
      <c r="C7" s="212" t="s">
        <v>85</v>
      </c>
      <c r="D7" s="212"/>
      <c r="F7" s="213" t="s">
        <v>81</v>
      </c>
      <c r="G7" s="213"/>
    </row>
    <row r="8" spans="3:7" s="2" customFormat="1" ht="15" customHeight="1" x14ac:dyDescent="0.25">
      <c r="C8" s="205" t="s">
        <v>83</v>
      </c>
      <c r="D8" s="205"/>
      <c r="F8" s="206" t="s">
        <v>224</v>
      </c>
      <c r="G8" s="206"/>
    </row>
    <row r="9" spans="3:7" ht="9.75" customHeight="1" x14ac:dyDescent="0.25"/>
    <row r="10" spans="3:7" ht="18.75" hidden="1" x14ac:dyDescent="0.25">
      <c r="C10" s="196" t="s">
        <v>93</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0</v>
      </c>
      <c r="F14" t="s">
        <v>209</v>
      </c>
      <c r="G14" s="24">
        <v>0</v>
      </c>
    </row>
    <row r="15" spans="3:7" ht="15.75" customHeight="1" x14ac:dyDescent="0.25">
      <c r="C15" t="s">
        <v>71</v>
      </c>
      <c r="D15" s="24">
        <v>0</v>
      </c>
      <c r="F15" s="21" t="s">
        <v>202</v>
      </c>
      <c r="G15" s="24">
        <v>0</v>
      </c>
    </row>
    <row r="16" spans="3:7" ht="15.75" customHeight="1" x14ac:dyDescent="0.25">
      <c r="C16" t="s">
        <v>72</v>
      </c>
      <c r="D16" s="24">
        <v>0</v>
      </c>
      <c r="F16" t="s">
        <v>205</v>
      </c>
      <c r="G16" s="24">
        <v>3</v>
      </c>
    </row>
    <row r="17" spans="3:7" ht="15.75" hidden="1" customHeight="1" x14ac:dyDescent="0.25">
      <c r="D17" s="24">
        <v>3</v>
      </c>
      <c r="G17" s="24">
        <v>3</v>
      </c>
    </row>
    <row r="18" spans="3:7" ht="9.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3</v>
      </c>
      <c r="F21" t="s">
        <v>206</v>
      </c>
      <c r="G21" s="24">
        <v>3</v>
      </c>
    </row>
    <row r="22" spans="3:7" ht="15.75" customHeight="1" x14ac:dyDescent="0.25">
      <c r="C22" t="s">
        <v>210</v>
      </c>
      <c r="D22" s="24">
        <v>0</v>
      </c>
      <c r="F22" t="s">
        <v>204</v>
      </c>
      <c r="G22" s="24">
        <v>3</v>
      </c>
    </row>
    <row r="23" spans="3:7" ht="15.75" customHeight="1" x14ac:dyDescent="0.25">
      <c r="C23" t="s">
        <v>91</v>
      </c>
      <c r="D23" s="24">
        <v>3</v>
      </c>
      <c r="F23" t="s">
        <v>203</v>
      </c>
      <c r="G23" s="24">
        <v>1</v>
      </c>
    </row>
    <row r="24" spans="3:7" ht="15.75" hidden="1" customHeight="1" x14ac:dyDescent="0.25">
      <c r="D24" s="24">
        <v>3</v>
      </c>
      <c r="G24" s="24">
        <v>3</v>
      </c>
    </row>
    <row r="25" spans="3:7" ht="9.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139.5" customHeight="1" x14ac:dyDescent="0.25">
      <c r="C29" s="199" t="s">
        <v>226</v>
      </c>
      <c r="D29" s="199"/>
      <c r="F29" s="200" t="s">
        <v>227</v>
      </c>
      <c r="G29" s="200"/>
    </row>
    <row r="30" spans="3:7" ht="4.5" customHeight="1" x14ac:dyDescent="0.25"/>
    <row r="31" spans="3:7" x14ac:dyDescent="0.25">
      <c r="C31" s="201" t="s">
        <v>2</v>
      </c>
      <c r="D31" s="201"/>
      <c r="F31" s="202" t="s">
        <v>1</v>
      </c>
      <c r="G31" s="202"/>
    </row>
    <row r="32" spans="3:7" ht="141" customHeight="1" x14ac:dyDescent="0.25">
      <c r="C32" s="203" t="s">
        <v>229</v>
      </c>
      <c r="D32" s="203"/>
      <c r="F32" s="204" t="s">
        <v>228</v>
      </c>
      <c r="G32" s="204"/>
    </row>
    <row r="33" spans="3:11" ht="9.75" customHeight="1" x14ac:dyDescent="0.25"/>
    <row r="34" spans="3:11" s="1" customFormat="1" ht="18.75" hidden="1" x14ac:dyDescent="0.25">
      <c r="C34" s="196" t="s">
        <v>0</v>
      </c>
      <c r="D34" s="196"/>
      <c r="E34" s="196"/>
      <c r="F34" s="196"/>
      <c r="G34" s="49"/>
      <c r="I34" t="s">
        <v>73</v>
      </c>
      <c r="K34" t="s">
        <v>70</v>
      </c>
    </row>
    <row r="35" spans="3:11" ht="4.5" hidden="1" customHeight="1" x14ac:dyDescent="0.25"/>
    <row r="36" spans="3:11" x14ac:dyDescent="0.25">
      <c r="C36" s="197" t="str">
        <f>"Score total : " &amp;G36&amp; " sur 36  - Pourcentage de scoring : " &amp; ROUND(100*(G36/36),2) &amp; " %"</f>
        <v>Score total : 16 sur 36  - Pourcentage de scoring : 44,44 %</v>
      </c>
      <c r="D36" s="197"/>
      <c r="E36" s="197"/>
      <c r="F36" s="197"/>
      <c r="G36" s="27">
        <f>SUM(D14:D16,D21:D23,G14:G16,G21:G23)</f>
        <v>16</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198" t="s">
        <v>230</v>
      </c>
      <c r="D41" s="198"/>
      <c r="E41" s="198"/>
      <c r="F41" s="198"/>
      <c r="G41" s="198"/>
    </row>
    <row r="42" spans="3:11" x14ac:dyDescent="0.25">
      <c r="C42" s="198"/>
      <c r="D42" s="198"/>
      <c r="E42" s="198"/>
      <c r="F42" s="198"/>
      <c r="G42" s="198"/>
    </row>
    <row r="44" spans="3:11" x14ac:dyDescent="0.25">
      <c r="C44" s="30"/>
    </row>
  </sheetData>
  <mergeCells count="22">
    <mergeCell ref="C7:D7"/>
    <mergeCell ref="F7:G7"/>
    <mergeCell ref="C2:F2"/>
    <mergeCell ref="C4:D4"/>
    <mergeCell ref="F4:G4"/>
    <mergeCell ref="C6:D6"/>
    <mergeCell ref="F6:G6"/>
    <mergeCell ref="C8:D8"/>
    <mergeCell ref="F8:G8"/>
    <mergeCell ref="C10:G10"/>
    <mergeCell ref="C26:G26"/>
    <mergeCell ref="C28:D28"/>
    <mergeCell ref="F28:G28"/>
    <mergeCell ref="C34:F34"/>
    <mergeCell ref="C36:F36"/>
    <mergeCell ref="C41:G42"/>
    <mergeCell ref="C29:D29"/>
    <mergeCell ref="F29:G29"/>
    <mergeCell ref="C31:D31"/>
    <mergeCell ref="F31:G31"/>
    <mergeCell ref="C32:D32"/>
    <mergeCell ref="F32:G32"/>
  </mergeCells>
  <conditionalFormatting sqref="D14:D16">
    <cfRule type="iconSet" priority="10">
      <iconSet>
        <cfvo type="percent" val="0"/>
        <cfvo type="percent" val="33"/>
        <cfvo type="percent" val="67"/>
      </iconSet>
    </cfRule>
  </conditionalFormatting>
  <conditionalFormatting sqref="G18:G19">
    <cfRule type="iconSet" priority="9">
      <iconSet>
        <cfvo type="percent" val="0"/>
        <cfvo type="percent" val="33"/>
        <cfvo type="percent" val="67"/>
      </iconSet>
    </cfRule>
  </conditionalFormatting>
  <conditionalFormatting sqref="G36:G39">
    <cfRule type="iconSet" priority="8">
      <iconSet iconSet="5Rating">
        <cfvo type="percent" val="0"/>
        <cfvo type="percent" val="20"/>
        <cfvo type="percent" val="40"/>
        <cfvo type="percent" val="60"/>
        <cfvo type="percent" val="80"/>
      </iconSet>
    </cfRule>
  </conditionalFormatting>
  <conditionalFormatting sqref="D13:D19">
    <cfRule type="iconSet" priority="7">
      <iconSet>
        <cfvo type="percent" val="0"/>
        <cfvo type="percent" val="33"/>
        <cfvo type="percent" val="67"/>
      </iconSet>
    </cfRule>
  </conditionalFormatting>
  <conditionalFormatting sqref="D21:D23">
    <cfRule type="iconSet" priority="6">
      <iconSet>
        <cfvo type="percent" val="0"/>
        <cfvo type="percent" val="33"/>
        <cfvo type="percent" val="67"/>
      </iconSet>
    </cfRule>
  </conditionalFormatting>
  <conditionalFormatting sqref="D20:D24">
    <cfRule type="iconSet" priority="5">
      <iconSet>
        <cfvo type="percent" val="0"/>
        <cfvo type="percent" val="33"/>
        <cfvo type="percent" val="67"/>
      </iconSet>
    </cfRule>
  </conditionalFormatting>
  <conditionalFormatting sqref="G14:G16">
    <cfRule type="iconSet" priority="4">
      <iconSet>
        <cfvo type="percent" val="0"/>
        <cfvo type="percent" val="33"/>
        <cfvo type="percent" val="67"/>
      </iconSet>
    </cfRule>
  </conditionalFormatting>
  <conditionalFormatting sqref="G13:G17">
    <cfRule type="iconSet" priority="3">
      <iconSet>
        <cfvo type="percent" val="0"/>
        <cfvo type="percent" val="33"/>
        <cfvo type="percent" val="67"/>
      </iconSet>
    </cfRule>
  </conditionalFormatting>
  <conditionalFormatting sqref="G21:G23">
    <cfRule type="iconSet" priority="2">
      <iconSet>
        <cfvo type="percent" val="0"/>
        <cfvo type="percent" val="33"/>
        <cfvo type="percent" val="67"/>
      </iconSet>
    </cfRule>
  </conditionalFormatting>
  <conditionalFormatting sqref="G20:G24">
    <cfRule type="iconSet" priority="1">
      <iconSet>
        <cfvo type="percent" val="0"/>
        <cfvo type="percent" val="33"/>
        <cfvo type="percent" val="67"/>
      </iconSet>
    </cfRule>
  </conditionalFormatting>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C2:K44"/>
  <sheetViews>
    <sheetView showGridLines="0" topLeftCell="A28" workbookViewId="0">
      <selection activeCell="C2" sqref="C2:G42"/>
    </sheetView>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246</v>
      </c>
      <c r="D2" s="210"/>
      <c r="E2" s="210"/>
      <c r="F2" s="210"/>
      <c r="G2" s="22"/>
    </row>
    <row r="3" spans="3:7" s="2" customFormat="1" ht="4.5" customHeight="1" x14ac:dyDescent="0.25"/>
    <row r="4" spans="3:7" s="2" customFormat="1" ht="15" customHeight="1" x14ac:dyDescent="0.25">
      <c r="C4" s="211" t="s">
        <v>69</v>
      </c>
      <c r="D4" s="211"/>
      <c r="F4" s="206" t="s">
        <v>79</v>
      </c>
      <c r="G4" s="206"/>
    </row>
    <row r="5" spans="3:7" s="2" customFormat="1" ht="15" customHeight="1" x14ac:dyDescent="0.25">
      <c r="C5" s="28" t="s">
        <v>77</v>
      </c>
      <c r="D5" s="28"/>
      <c r="F5" s="29" t="s">
        <v>78</v>
      </c>
      <c r="G5" s="29"/>
    </row>
    <row r="6" spans="3:7" s="2" customFormat="1" ht="15" hidden="1" customHeight="1" x14ac:dyDescent="0.25">
      <c r="C6" s="212" t="s">
        <v>84</v>
      </c>
      <c r="D6" s="212"/>
      <c r="F6" s="206" t="s">
        <v>80</v>
      </c>
      <c r="G6" s="206"/>
    </row>
    <row r="7" spans="3:7" s="2" customFormat="1" ht="15" hidden="1" customHeight="1" x14ac:dyDescent="0.25">
      <c r="C7" s="212" t="s">
        <v>85</v>
      </c>
      <c r="D7" s="212"/>
      <c r="F7" s="213" t="s">
        <v>81</v>
      </c>
      <c r="G7" s="213"/>
    </row>
    <row r="8" spans="3:7" s="2" customFormat="1" ht="15" customHeight="1" x14ac:dyDescent="0.25">
      <c r="C8" s="205" t="s">
        <v>83</v>
      </c>
      <c r="D8" s="205"/>
      <c r="F8" s="206" t="s">
        <v>82</v>
      </c>
      <c r="G8" s="206"/>
    </row>
    <row r="9" spans="3:7" ht="9.75" customHeight="1" x14ac:dyDescent="0.25"/>
    <row r="10" spans="3:7" ht="18.75" hidden="1" x14ac:dyDescent="0.25">
      <c r="C10" s="196" t="s">
        <v>93</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0</v>
      </c>
      <c r="F14" t="s">
        <v>209</v>
      </c>
      <c r="G14" s="24">
        <v>0</v>
      </c>
    </row>
    <row r="15" spans="3:7" ht="15.75" customHeight="1" x14ac:dyDescent="0.25">
      <c r="C15" t="s">
        <v>71</v>
      </c>
      <c r="D15" s="24">
        <v>0</v>
      </c>
      <c r="F15" s="21" t="s">
        <v>202</v>
      </c>
      <c r="G15" s="24">
        <v>0</v>
      </c>
    </row>
    <row r="16" spans="3:7" ht="15.75" customHeight="1" x14ac:dyDescent="0.25">
      <c r="C16" t="s">
        <v>72</v>
      </c>
      <c r="D16" s="24">
        <v>1</v>
      </c>
      <c r="F16" t="s">
        <v>205</v>
      </c>
      <c r="G16" s="24">
        <v>0</v>
      </c>
    </row>
    <row r="17" spans="3:7" ht="15.75" hidden="1" customHeight="1" x14ac:dyDescent="0.25">
      <c r="D17" s="24">
        <v>3</v>
      </c>
      <c r="G17" s="24">
        <v>3</v>
      </c>
    </row>
    <row r="18" spans="3:7" ht="9.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3</v>
      </c>
      <c r="F21" t="s">
        <v>206</v>
      </c>
      <c r="G21" s="24">
        <v>3</v>
      </c>
    </row>
    <row r="22" spans="3:7" ht="15.75" customHeight="1" x14ac:dyDescent="0.25">
      <c r="C22" t="s">
        <v>210</v>
      </c>
      <c r="D22" s="24">
        <v>3</v>
      </c>
      <c r="F22" t="s">
        <v>204</v>
      </c>
      <c r="G22" s="24">
        <v>3</v>
      </c>
    </row>
    <row r="23" spans="3:7" ht="15.75" customHeight="1" x14ac:dyDescent="0.25">
      <c r="C23" t="s">
        <v>91</v>
      </c>
      <c r="D23" s="24">
        <v>1</v>
      </c>
      <c r="F23" t="s">
        <v>203</v>
      </c>
      <c r="G23" s="24">
        <v>1</v>
      </c>
    </row>
    <row r="24" spans="3:7" ht="15.75" hidden="1" customHeight="1" x14ac:dyDescent="0.25">
      <c r="D24" s="24">
        <v>3</v>
      </c>
      <c r="G24" s="24">
        <v>3</v>
      </c>
    </row>
    <row r="25" spans="3:7" ht="9.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97.5" customHeight="1" x14ac:dyDescent="0.25">
      <c r="C29" s="199" t="s">
        <v>104</v>
      </c>
      <c r="D29" s="199"/>
      <c r="F29" s="200" t="s">
        <v>103</v>
      </c>
      <c r="G29" s="200"/>
    </row>
    <row r="30" spans="3:7" ht="4.5" customHeight="1" x14ac:dyDescent="0.25"/>
    <row r="31" spans="3:7" x14ac:dyDescent="0.25">
      <c r="C31" s="201" t="s">
        <v>2</v>
      </c>
      <c r="D31" s="201"/>
      <c r="F31" s="202" t="s">
        <v>1</v>
      </c>
      <c r="G31" s="202"/>
    </row>
    <row r="32" spans="3:7" ht="83.25" customHeight="1" x14ac:dyDescent="0.25">
      <c r="C32" s="203" t="s">
        <v>102</v>
      </c>
      <c r="D32" s="203"/>
      <c r="F32" s="204" t="s">
        <v>86</v>
      </c>
      <c r="G32" s="204"/>
    </row>
    <row r="33" spans="3:11" ht="9.75" customHeight="1" x14ac:dyDescent="0.25"/>
    <row r="34" spans="3:11" s="1" customFormat="1" ht="18.75" hidden="1" x14ac:dyDescent="0.25">
      <c r="C34" s="196" t="s">
        <v>0</v>
      </c>
      <c r="D34" s="196"/>
      <c r="E34" s="196"/>
      <c r="F34" s="196"/>
      <c r="G34" s="23"/>
      <c r="I34" t="s">
        <v>73</v>
      </c>
      <c r="K34" t="s">
        <v>70</v>
      </c>
    </row>
    <row r="35" spans="3:11" ht="4.5" hidden="1" customHeight="1" x14ac:dyDescent="0.25"/>
    <row r="36" spans="3:11" x14ac:dyDescent="0.25">
      <c r="C36" s="197" t="str">
        <f>"Score total : " &amp;G36&amp; " sur 72  - Pourcentage de scoring : " &amp; ROUND(100*(G36/36),2) &amp; " %"</f>
        <v>Score total : 15 sur 72  - Pourcentage de scoring : 41,67 %</v>
      </c>
      <c r="D36" s="197"/>
      <c r="E36" s="197"/>
      <c r="F36" s="197"/>
      <c r="G36" s="27">
        <f>SUM((D14:D16),D21:D23,G14:G16,G21:G23)</f>
        <v>15</v>
      </c>
      <c r="I36" t="s">
        <v>75</v>
      </c>
      <c r="K36" t="s">
        <v>74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198" t="s">
        <v>110</v>
      </c>
      <c r="D41" s="198"/>
      <c r="E41" s="198"/>
      <c r="F41" s="198"/>
      <c r="G41" s="198"/>
    </row>
    <row r="42" spans="3:11" x14ac:dyDescent="0.25">
      <c r="C42" s="198"/>
      <c r="D42" s="198"/>
      <c r="E42" s="198"/>
      <c r="F42" s="198"/>
      <c r="G42" s="198"/>
    </row>
    <row r="44" spans="3:11" x14ac:dyDescent="0.25">
      <c r="C44" s="30"/>
    </row>
  </sheetData>
  <mergeCells count="22">
    <mergeCell ref="C2:F2"/>
    <mergeCell ref="C34:F34"/>
    <mergeCell ref="C36:F36"/>
    <mergeCell ref="C10:G10"/>
    <mergeCell ref="C26:G26"/>
    <mergeCell ref="C29:D29"/>
    <mergeCell ref="C28:D28"/>
    <mergeCell ref="C41:G42"/>
    <mergeCell ref="C4:D4"/>
    <mergeCell ref="C6:D6"/>
    <mergeCell ref="C7:D7"/>
    <mergeCell ref="C8:D8"/>
    <mergeCell ref="F4:G4"/>
    <mergeCell ref="F6:G6"/>
    <mergeCell ref="F7:G7"/>
    <mergeCell ref="F8:G8"/>
    <mergeCell ref="F29:G29"/>
    <mergeCell ref="F28:G28"/>
    <mergeCell ref="C32:D32"/>
    <mergeCell ref="F32:G32"/>
    <mergeCell ref="C31:D31"/>
    <mergeCell ref="F31:G31"/>
  </mergeCells>
  <conditionalFormatting sqref="D14:D16">
    <cfRule type="iconSet" priority="16">
      <iconSet>
        <cfvo type="percent" val="0"/>
        <cfvo type="percent" val="33"/>
        <cfvo type="percent" val="67"/>
      </iconSet>
    </cfRule>
  </conditionalFormatting>
  <conditionalFormatting sqref="G18:G19">
    <cfRule type="iconSet" priority="14">
      <iconSet>
        <cfvo type="percent" val="0"/>
        <cfvo type="percent" val="33"/>
        <cfvo type="percent" val="67"/>
      </iconSet>
    </cfRule>
  </conditionalFormatting>
  <conditionalFormatting sqref="G36:G39">
    <cfRule type="iconSet" priority="8">
      <iconSet iconSet="5Rating">
        <cfvo type="percent" val="0"/>
        <cfvo type="percent" val="20"/>
        <cfvo type="percent" val="40"/>
        <cfvo type="percent" val="60"/>
        <cfvo type="percent" val="80"/>
      </iconSet>
    </cfRule>
  </conditionalFormatting>
  <conditionalFormatting sqref="D13:D19">
    <cfRule type="iconSet" priority="7">
      <iconSet>
        <cfvo type="percent" val="0"/>
        <cfvo type="percent" val="33"/>
        <cfvo type="percent" val="67"/>
      </iconSet>
    </cfRule>
  </conditionalFormatting>
  <conditionalFormatting sqref="D21:D23">
    <cfRule type="iconSet" priority="6">
      <iconSet>
        <cfvo type="percent" val="0"/>
        <cfvo type="percent" val="33"/>
        <cfvo type="percent" val="67"/>
      </iconSet>
    </cfRule>
  </conditionalFormatting>
  <conditionalFormatting sqref="D20:D24">
    <cfRule type="iconSet" priority="5">
      <iconSet>
        <cfvo type="percent" val="0"/>
        <cfvo type="percent" val="33"/>
        <cfvo type="percent" val="67"/>
      </iconSet>
    </cfRule>
  </conditionalFormatting>
  <conditionalFormatting sqref="G14:G16">
    <cfRule type="iconSet" priority="4">
      <iconSet>
        <cfvo type="percent" val="0"/>
        <cfvo type="percent" val="33"/>
        <cfvo type="percent" val="67"/>
      </iconSet>
    </cfRule>
  </conditionalFormatting>
  <conditionalFormatting sqref="G13:G17">
    <cfRule type="iconSet" priority="3">
      <iconSet>
        <cfvo type="percent" val="0"/>
        <cfvo type="percent" val="33"/>
        <cfvo type="percent" val="67"/>
      </iconSet>
    </cfRule>
  </conditionalFormatting>
  <conditionalFormatting sqref="G21:G23">
    <cfRule type="iconSet" priority="2">
      <iconSet>
        <cfvo type="percent" val="0"/>
        <cfvo type="percent" val="33"/>
        <cfvo type="percent" val="67"/>
      </iconSet>
    </cfRule>
  </conditionalFormatting>
  <conditionalFormatting sqref="G20:G24">
    <cfRule type="iconSet" priority="1">
      <iconSet>
        <cfvo type="percent" val="0"/>
        <cfvo type="percent" val="33"/>
        <cfvo type="percent" val="67"/>
      </iconSet>
    </cfRule>
  </conditionalFormatting>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C2:K42"/>
  <sheetViews>
    <sheetView showGridLines="0" topLeftCell="A30" workbookViewId="0">
      <selection activeCell="C2" sqref="C2:G42"/>
    </sheetView>
  </sheetViews>
  <sheetFormatPr baseColWidth="10" defaultRowHeight="15" x14ac:dyDescent="0.25"/>
  <cols>
    <col min="1" max="1" width="16" customWidth="1"/>
    <col min="2" max="2" width="2.85546875" customWidth="1"/>
    <col min="3" max="3" width="55.2851562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247</v>
      </c>
      <c r="D2" s="210"/>
      <c r="E2" s="210"/>
      <c r="F2" s="210"/>
      <c r="G2" s="22"/>
    </row>
    <row r="3" spans="3:7" s="2" customFormat="1" ht="4.5" customHeight="1" x14ac:dyDescent="0.25"/>
    <row r="4" spans="3:7" s="2" customFormat="1" ht="15" customHeight="1" x14ac:dyDescent="0.25">
      <c r="C4" s="211" t="s">
        <v>69</v>
      </c>
      <c r="D4" s="211"/>
      <c r="F4" s="206" t="s">
        <v>79</v>
      </c>
      <c r="G4" s="206"/>
    </row>
    <row r="5" spans="3:7" s="2" customFormat="1" ht="15" customHeight="1" x14ac:dyDescent="0.25">
      <c r="C5" s="28" t="s">
        <v>77</v>
      </c>
      <c r="D5" s="28"/>
      <c r="F5" s="29" t="s">
        <v>78</v>
      </c>
      <c r="G5" s="29"/>
    </row>
    <row r="6" spans="3:7" s="2" customFormat="1" ht="15" hidden="1" customHeight="1" x14ac:dyDescent="0.25">
      <c r="C6" s="212" t="s">
        <v>84</v>
      </c>
      <c r="D6" s="212"/>
      <c r="F6" s="206" t="s">
        <v>88</v>
      </c>
      <c r="G6" s="206"/>
    </row>
    <row r="7" spans="3:7" s="2" customFormat="1" ht="15" hidden="1" customHeight="1" x14ac:dyDescent="0.25">
      <c r="C7" s="212" t="s">
        <v>85</v>
      </c>
      <c r="D7" s="212"/>
      <c r="F7" s="213" t="s">
        <v>90</v>
      </c>
      <c r="G7" s="213"/>
    </row>
    <row r="8" spans="3:7" s="2" customFormat="1" ht="15" customHeight="1" x14ac:dyDescent="0.25">
      <c r="C8" s="205" t="s">
        <v>83</v>
      </c>
      <c r="D8" s="205"/>
      <c r="F8" s="206" t="s">
        <v>89</v>
      </c>
      <c r="G8" s="206"/>
    </row>
    <row r="9" spans="3:7" ht="7.5" customHeight="1" x14ac:dyDescent="0.25"/>
    <row r="10" spans="3:7" ht="18.75" hidden="1" x14ac:dyDescent="0.25">
      <c r="C10" s="196" t="s">
        <v>76</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1</v>
      </c>
      <c r="F14" t="s">
        <v>209</v>
      </c>
      <c r="G14" s="24">
        <v>0</v>
      </c>
    </row>
    <row r="15" spans="3:7" ht="15.75" customHeight="1" x14ac:dyDescent="0.25">
      <c r="C15" t="s">
        <v>71</v>
      </c>
      <c r="D15" s="24">
        <v>1</v>
      </c>
      <c r="F15" s="21" t="s">
        <v>202</v>
      </c>
      <c r="G15" s="24">
        <v>1</v>
      </c>
    </row>
    <row r="16" spans="3:7" ht="15.75" customHeight="1" x14ac:dyDescent="0.25">
      <c r="C16" t="s">
        <v>72</v>
      </c>
      <c r="D16" s="24">
        <v>3</v>
      </c>
      <c r="F16" t="s">
        <v>205</v>
      </c>
      <c r="G16" s="24">
        <v>3</v>
      </c>
    </row>
    <row r="17" spans="3:7" ht="15.75" hidden="1" customHeight="1" x14ac:dyDescent="0.25">
      <c r="D17" s="24">
        <v>3</v>
      </c>
      <c r="G17" s="24">
        <v>3</v>
      </c>
    </row>
    <row r="18" spans="3:7" ht="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3</v>
      </c>
      <c r="F21" t="s">
        <v>206</v>
      </c>
      <c r="G21" s="24">
        <v>1</v>
      </c>
    </row>
    <row r="22" spans="3:7" ht="15.75" customHeight="1" x14ac:dyDescent="0.25">
      <c r="C22" t="s">
        <v>210</v>
      </c>
      <c r="D22" s="24">
        <v>1</v>
      </c>
      <c r="F22" t="s">
        <v>204</v>
      </c>
      <c r="G22" s="24">
        <v>1</v>
      </c>
    </row>
    <row r="23" spans="3:7" ht="15.75" customHeight="1" x14ac:dyDescent="0.25">
      <c r="C23" t="s">
        <v>91</v>
      </c>
      <c r="D23" s="24">
        <v>3</v>
      </c>
      <c r="F23" t="s">
        <v>203</v>
      </c>
      <c r="G23" s="24">
        <v>1</v>
      </c>
    </row>
    <row r="24" spans="3:7" ht="15.75" hidden="1" customHeight="1" x14ac:dyDescent="0.25">
      <c r="D24" s="24">
        <v>3</v>
      </c>
      <c r="G24" s="24">
        <v>3</v>
      </c>
    </row>
    <row r="25" spans="3:7" ht="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128.25" customHeight="1" x14ac:dyDescent="0.25">
      <c r="C29" s="199" t="s">
        <v>101</v>
      </c>
      <c r="D29" s="199"/>
      <c r="F29" s="200" t="s">
        <v>249</v>
      </c>
      <c r="G29" s="200"/>
    </row>
    <row r="30" spans="3:7" ht="4.5" customHeight="1" x14ac:dyDescent="0.25"/>
    <row r="31" spans="3:7" x14ac:dyDescent="0.25">
      <c r="C31" s="201" t="s">
        <v>2</v>
      </c>
      <c r="D31" s="201"/>
      <c r="F31" s="202" t="s">
        <v>1</v>
      </c>
      <c r="G31" s="202"/>
    </row>
    <row r="32" spans="3:7" ht="170.25" customHeight="1" x14ac:dyDescent="0.25">
      <c r="C32" s="203" t="s">
        <v>100</v>
      </c>
      <c r="D32" s="203"/>
      <c r="F32" s="204" t="s">
        <v>250</v>
      </c>
      <c r="G32" s="204"/>
    </row>
    <row r="33" spans="3:11" ht="9.75" customHeight="1" x14ac:dyDescent="0.25"/>
    <row r="34" spans="3:11" s="1" customFormat="1" ht="18.75" hidden="1" x14ac:dyDescent="0.25">
      <c r="C34" s="196" t="s">
        <v>0</v>
      </c>
      <c r="D34" s="196"/>
      <c r="E34" s="196"/>
      <c r="F34" s="196"/>
      <c r="G34" s="23"/>
      <c r="I34" t="s">
        <v>73</v>
      </c>
      <c r="K34" t="s">
        <v>70</v>
      </c>
    </row>
    <row r="35" spans="3:11" ht="4.5" hidden="1" customHeight="1" x14ac:dyDescent="0.25"/>
    <row r="36" spans="3:11" x14ac:dyDescent="0.25">
      <c r="C36" s="197" t="str">
        <f>"Score total : " &amp;G36&amp; " sur 72  - Pourcentage de scoring : " &amp; ROUND(100*(G36/36),2) &amp; " %"</f>
        <v>Score total : 19 sur 72  - Pourcentage de scoring : 52,78 %</v>
      </c>
      <c r="D36" s="197"/>
      <c r="E36" s="197"/>
      <c r="F36" s="197"/>
      <c r="G36" s="27">
        <f>SUM((D14:D16),D21:D23,G14:G16,G21:G23)</f>
        <v>19</v>
      </c>
      <c r="I36" t="s">
        <v>75</v>
      </c>
      <c r="K36" t="s">
        <v>74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198" t="s">
        <v>251</v>
      </c>
      <c r="D41" s="198"/>
      <c r="E41" s="198"/>
      <c r="F41" s="198"/>
      <c r="G41" s="198"/>
    </row>
    <row r="42" spans="3:11" ht="36" customHeight="1" x14ac:dyDescent="0.25">
      <c r="C42" s="198"/>
      <c r="D42" s="198"/>
      <c r="E42" s="198"/>
      <c r="F42" s="198"/>
      <c r="G42" s="198"/>
    </row>
  </sheetData>
  <mergeCells count="22">
    <mergeCell ref="C7:D7"/>
    <mergeCell ref="F7:G7"/>
    <mergeCell ref="C2:F2"/>
    <mergeCell ref="C4:D4"/>
    <mergeCell ref="F4:G4"/>
    <mergeCell ref="C6:D6"/>
    <mergeCell ref="F6:G6"/>
    <mergeCell ref="C8:D8"/>
    <mergeCell ref="F8:G8"/>
    <mergeCell ref="C10:G10"/>
    <mergeCell ref="C26:G26"/>
    <mergeCell ref="C28:D28"/>
    <mergeCell ref="F28:G28"/>
    <mergeCell ref="C34:F34"/>
    <mergeCell ref="C36:F36"/>
    <mergeCell ref="C41:G42"/>
    <mergeCell ref="C29:D29"/>
    <mergeCell ref="F29:G29"/>
    <mergeCell ref="C31:D31"/>
    <mergeCell ref="F31:G31"/>
    <mergeCell ref="C32:D32"/>
    <mergeCell ref="F32:G32"/>
  </mergeCells>
  <conditionalFormatting sqref="G36:G39">
    <cfRule type="iconSet" priority="19">
      <iconSet iconSet="5Rating">
        <cfvo type="percent" val="0"/>
        <cfvo type="percent" val="20"/>
        <cfvo type="percent" val="40"/>
        <cfvo type="percent" val="60"/>
        <cfvo type="percent" val="80"/>
      </iconSet>
    </cfRule>
  </conditionalFormatting>
  <conditionalFormatting sqref="D24">
    <cfRule type="iconSet" priority="16">
      <iconSet>
        <cfvo type="percent" val="0"/>
        <cfvo type="percent" val="33"/>
        <cfvo type="percent" val="67"/>
      </iconSet>
    </cfRule>
  </conditionalFormatting>
  <conditionalFormatting sqref="G24">
    <cfRule type="iconSet" priority="12">
      <iconSet>
        <cfvo type="percent" val="0"/>
        <cfvo type="percent" val="33"/>
        <cfvo type="percent" val="67"/>
      </iconSet>
    </cfRule>
  </conditionalFormatting>
  <conditionalFormatting sqref="D14:D16">
    <cfRule type="iconSet" priority="11">
      <iconSet>
        <cfvo type="percent" val="0"/>
        <cfvo type="percent" val="33"/>
        <cfvo type="percent" val="67"/>
      </iconSet>
    </cfRule>
  </conditionalFormatting>
  <conditionalFormatting sqref="G18:G19">
    <cfRule type="iconSet" priority="10">
      <iconSet>
        <cfvo type="percent" val="0"/>
        <cfvo type="percent" val="33"/>
        <cfvo type="percent" val="67"/>
      </iconSet>
    </cfRule>
  </conditionalFormatting>
  <conditionalFormatting sqref="D13:D19">
    <cfRule type="iconSet" priority="9">
      <iconSet>
        <cfvo type="percent" val="0"/>
        <cfvo type="percent" val="33"/>
        <cfvo type="percent" val="67"/>
      </iconSet>
    </cfRule>
  </conditionalFormatting>
  <conditionalFormatting sqref="D21:D23">
    <cfRule type="iconSet" priority="8">
      <iconSet>
        <cfvo type="percent" val="0"/>
        <cfvo type="percent" val="33"/>
        <cfvo type="percent" val="67"/>
      </iconSet>
    </cfRule>
  </conditionalFormatting>
  <conditionalFormatting sqref="D20:D23">
    <cfRule type="iconSet" priority="7">
      <iconSet>
        <cfvo type="percent" val="0"/>
        <cfvo type="percent" val="33"/>
        <cfvo type="percent" val="67"/>
      </iconSet>
    </cfRule>
  </conditionalFormatting>
  <conditionalFormatting sqref="G14:G16">
    <cfRule type="iconSet" priority="6">
      <iconSet>
        <cfvo type="percent" val="0"/>
        <cfvo type="percent" val="33"/>
        <cfvo type="percent" val="67"/>
      </iconSet>
    </cfRule>
  </conditionalFormatting>
  <conditionalFormatting sqref="G13:G17">
    <cfRule type="iconSet" priority="5">
      <iconSet>
        <cfvo type="percent" val="0"/>
        <cfvo type="percent" val="33"/>
        <cfvo type="percent" val="67"/>
      </iconSet>
    </cfRule>
  </conditionalFormatting>
  <conditionalFormatting sqref="G20">
    <cfRule type="iconSet" priority="3">
      <iconSet>
        <cfvo type="percent" val="0"/>
        <cfvo type="percent" val="33"/>
        <cfvo type="percent" val="67"/>
      </iconSet>
    </cfRule>
  </conditionalFormatting>
  <conditionalFormatting sqref="G21:G23">
    <cfRule type="iconSet" priority="1">
      <iconSet>
        <cfvo type="percent" val="0"/>
        <cfvo type="num" val="1"/>
        <cfvo type="num" val="3"/>
      </iconSet>
    </cfRule>
  </conditionalFormatting>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C2:K42"/>
  <sheetViews>
    <sheetView showGridLines="0" topLeftCell="A30" workbookViewId="0">
      <selection activeCell="C2" sqref="C2:G42"/>
    </sheetView>
  </sheetViews>
  <sheetFormatPr baseColWidth="10" defaultRowHeight="15" x14ac:dyDescent="0.25"/>
  <cols>
    <col min="1" max="1" width="16" customWidth="1"/>
    <col min="2" max="2" width="2.85546875" customWidth="1"/>
    <col min="3" max="3" width="55.2851562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276</v>
      </c>
      <c r="D2" s="210"/>
      <c r="E2" s="210"/>
      <c r="F2" s="210"/>
      <c r="G2" s="52"/>
    </row>
    <row r="3" spans="3:7" s="2" customFormat="1" ht="4.5" customHeight="1" x14ac:dyDescent="0.25"/>
    <row r="4" spans="3:7" s="2" customFormat="1" ht="15" customHeight="1" x14ac:dyDescent="0.25">
      <c r="C4" s="211" t="s">
        <v>69</v>
      </c>
      <c r="D4" s="211"/>
      <c r="F4" s="206" t="s">
        <v>79</v>
      </c>
      <c r="G4" s="206"/>
    </row>
    <row r="5" spans="3:7" s="2" customFormat="1" ht="15" customHeight="1" x14ac:dyDescent="0.25">
      <c r="C5" s="54" t="s">
        <v>77</v>
      </c>
      <c r="D5" s="54"/>
      <c r="F5" s="55" t="s">
        <v>269</v>
      </c>
      <c r="G5" s="55"/>
    </row>
    <row r="6" spans="3:7" s="2" customFormat="1" ht="15" hidden="1" customHeight="1" x14ac:dyDescent="0.25">
      <c r="C6" s="212" t="s">
        <v>84</v>
      </c>
      <c r="D6" s="212"/>
      <c r="F6" s="206" t="s">
        <v>88</v>
      </c>
      <c r="G6" s="206"/>
    </row>
    <row r="7" spans="3:7" s="2" customFormat="1" ht="15" hidden="1" customHeight="1" x14ac:dyDescent="0.25">
      <c r="C7" s="212" t="s">
        <v>85</v>
      </c>
      <c r="D7" s="212"/>
      <c r="F7" s="213" t="s">
        <v>90</v>
      </c>
      <c r="G7" s="213"/>
    </row>
    <row r="8" spans="3:7" s="2" customFormat="1" ht="15" customHeight="1" x14ac:dyDescent="0.25">
      <c r="C8" s="205" t="s">
        <v>83</v>
      </c>
      <c r="D8" s="205"/>
      <c r="F8" s="206" t="s">
        <v>270</v>
      </c>
      <c r="G8" s="206"/>
    </row>
    <row r="9" spans="3:7" ht="7.5" customHeight="1" x14ac:dyDescent="0.25"/>
    <row r="10" spans="3:7" ht="18.75" hidden="1" x14ac:dyDescent="0.25">
      <c r="C10" s="196" t="s">
        <v>76</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1</v>
      </c>
      <c r="F14" t="s">
        <v>209</v>
      </c>
      <c r="G14" s="24">
        <v>0</v>
      </c>
    </row>
    <row r="15" spans="3:7" ht="15.75" customHeight="1" x14ac:dyDescent="0.25">
      <c r="C15" t="s">
        <v>71</v>
      </c>
      <c r="D15" s="24">
        <v>0</v>
      </c>
      <c r="F15" s="21" t="s">
        <v>202</v>
      </c>
      <c r="G15" s="24">
        <v>0</v>
      </c>
    </row>
    <row r="16" spans="3:7" ht="15.75" customHeight="1" x14ac:dyDescent="0.25">
      <c r="C16" t="s">
        <v>72</v>
      </c>
      <c r="D16" s="24">
        <v>1</v>
      </c>
      <c r="F16" t="s">
        <v>205</v>
      </c>
      <c r="G16" s="24">
        <v>0</v>
      </c>
    </row>
    <row r="17" spans="3:7" ht="15.75" hidden="1" customHeight="1" x14ac:dyDescent="0.25">
      <c r="D17" s="24">
        <v>3</v>
      </c>
      <c r="G17" s="24">
        <v>3</v>
      </c>
    </row>
    <row r="18" spans="3:7" ht="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3</v>
      </c>
      <c r="F21" t="s">
        <v>206</v>
      </c>
      <c r="G21" s="24">
        <v>1</v>
      </c>
    </row>
    <row r="22" spans="3:7" ht="15.75" customHeight="1" x14ac:dyDescent="0.25">
      <c r="C22" t="s">
        <v>210</v>
      </c>
      <c r="D22" s="24">
        <v>0</v>
      </c>
      <c r="F22" t="s">
        <v>204</v>
      </c>
      <c r="G22" s="24">
        <v>1</v>
      </c>
    </row>
    <row r="23" spans="3:7" ht="15.75" customHeight="1" x14ac:dyDescent="0.25">
      <c r="C23" t="s">
        <v>91</v>
      </c>
      <c r="D23" s="24">
        <v>3</v>
      </c>
      <c r="F23" t="s">
        <v>203</v>
      </c>
      <c r="G23" s="24">
        <v>0</v>
      </c>
    </row>
    <row r="24" spans="3:7" ht="15.75" hidden="1" customHeight="1" x14ac:dyDescent="0.25">
      <c r="D24" s="24">
        <v>3</v>
      </c>
      <c r="G24" s="24">
        <v>3</v>
      </c>
    </row>
    <row r="25" spans="3:7" ht="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128.25" customHeight="1" x14ac:dyDescent="0.25">
      <c r="C29" s="199" t="s">
        <v>271</v>
      </c>
      <c r="D29" s="199"/>
      <c r="F29" s="200" t="s">
        <v>273</v>
      </c>
      <c r="G29" s="200"/>
    </row>
    <row r="30" spans="3:7" ht="4.5" customHeight="1" x14ac:dyDescent="0.25"/>
    <row r="31" spans="3:7" x14ac:dyDescent="0.25">
      <c r="C31" s="201" t="s">
        <v>2</v>
      </c>
      <c r="D31" s="201"/>
      <c r="F31" s="202" t="s">
        <v>1</v>
      </c>
      <c r="G31" s="202"/>
    </row>
    <row r="32" spans="3:7" ht="119.25" customHeight="1" x14ac:dyDescent="0.25">
      <c r="C32" s="203" t="s">
        <v>272</v>
      </c>
      <c r="D32" s="203"/>
      <c r="F32" s="204" t="s">
        <v>274</v>
      </c>
      <c r="G32" s="204"/>
    </row>
    <row r="33" spans="3:11" ht="9.75" customHeight="1" x14ac:dyDescent="0.25"/>
    <row r="34" spans="3:11" s="1" customFormat="1" ht="18.75" hidden="1" x14ac:dyDescent="0.25">
      <c r="C34" s="196" t="s">
        <v>0</v>
      </c>
      <c r="D34" s="196"/>
      <c r="E34" s="196"/>
      <c r="F34" s="196"/>
      <c r="G34" s="53"/>
      <c r="I34" t="s">
        <v>73</v>
      </c>
      <c r="K34" t="s">
        <v>70</v>
      </c>
    </row>
    <row r="35" spans="3:11" ht="4.5" hidden="1" customHeight="1" x14ac:dyDescent="0.25"/>
    <row r="36" spans="3:11" x14ac:dyDescent="0.25">
      <c r="C36" s="197" t="str">
        <f>"Score total : " &amp;G36&amp; " sur 72  - Pourcentage de scoring : " &amp; ROUND(100*(G36/36),2) &amp; " %"</f>
        <v>Score total : 10 sur 72  - Pourcentage de scoring : 27,78 %</v>
      </c>
      <c r="D36" s="197"/>
      <c r="E36" s="197"/>
      <c r="F36" s="197"/>
      <c r="G36" s="27">
        <f>SUM((D14:D16),D21:D23,G14:G16,G21:G23)</f>
        <v>10</v>
      </c>
      <c r="I36" t="s">
        <v>75</v>
      </c>
      <c r="K36" t="s">
        <v>74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198" t="s">
        <v>275</v>
      </c>
      <c r="D41" s="198"/>
      <c r="E41" s="198"/>
      <c r="F41" s="198"/>
      <c r="G41" s="198"/>
    </row>
    <row r="42" spans="3:11" ht="50.25" customHeight="1" x14ac:dyDescent="0.25">
      <c r="C42" s="198"/>
      <c r="D42" s="198"/>
      <c r="E42" s="198"/>
      <c r="F42" s="198"/>
      <c r="G42" s="198"/>
    </row>
  </sheetData>
  <mergeCells count="22">
    <mergeCell ref="C34:F34"/>
    <mergeCell ref="C36:F36"/>
    <mergeCell ref="C41:G42"/>
    <mergeCell ref="C29:D29"/>
    <mergeCell ref="F29:G29"/>
    <mergeCell ref="C31:D31"/>
    <mergeCell ref="F31:G31"/>
    <mergeCell ref="C32:D32"/>
    <mergeCell ref="F32:G32"/>
    <mergeCell ref="C8:D8"/>
    <mergeCell ref="F8:G8"/>
    <mergeCell ref="C10:G10"/>
    <mergeCell ref="C26:G26"/>
    <mergeCell ref="C28:D28"/>
    <mergeCell ref="F28:G28"/>
    <mergeCell ref="C2:F2"/>
    <mergeCell ref="C4:D4"/>
    <mergeCell ref="F4:G4"/>
    <mergeCell ref="C6:D6"/>
    <mergeCell ref="F6:G6"/>
    <mergeCell ref="C7:D7"/>
    <mergeCell ref="F7:G7"/>
  </mergeCells>
  <conditionalFormatting sqref="G36:G39">
    <cfRule type="iconSet" priority="12">
      <iconSet iconSet="5Rating">
        <cfvo type="percent" val="0"/>
        <cfvo type="percent" val="20"/>
        <cfvo type="percent" val="40"/>
        <cfvo type="percent" val="60"/>
        <cfvo type="percent" val="80"/>
      </iconSet>
    </cfRule>
  </conditionalFormatting>
  <conditionalFormatting sqref="D24">
    <cfRule type="iconSet" priority="11">
      <iconSet>
        <cfvo type="percent" val="0"/>
        <cfvo type="percent" val="33"/>
        <cfvo type="percent" val="67"/>
      </iconSet>
    </cfRule>
  </conditionalFormatting>
  <conditionalFormatting sqref="G24">
    <cfRule type="iconSet" priority="10">
      <iconSet>
        <cfvo type="percent" val="0"/>
        <cfvo type="percent" val="33"/>
        <cfvo type="percent" val="67"/>
      </iconSet>
    </cfRule>
  </conditionalFormatting>
  <conditionalFormatting sqref="D14:D16">
    <cfRule type="iconSet" priority="9">
      <iconSet>
        <cfvo type="percent" val="0"/>
        <cfvo type="percent" val="33"/>
        <cfvo type="percent" val="67"/>
      </iconSet>
    </cfRule>
  </conditionalFormatting>
  <conditionalFormatting sqref="G18:G19">
    <cfRule type="iconSet" priority="8">
      <iconSet>
        <cfvo type="percent" val="0"/>
        <cfvo type="percent" val="33"/>
        <cfvo type="percent" val="67"/>
      </iconSet>
    </cfRule>
  </conditionalFormatting>
  <conditionalFormatting sqref="D13:D19">
    <cfRule type="iconSet" priority="7">
      <iconSet>
        <cfvo type="percent" val="0"/>
        <cfvo type="percent" val="33"/>
        <cfvo type="percent" val="67"/>
      </iconSet>
    </cfRule>
  </conditionalFormatting>
  <conditionalFormatting sqref="D21:D23">
    <cfRule type="iconSet" priority="6">
      <iconSet>
        <cfvo type="percent" val="0"/>
        <cfvo type="percent" val="33"/>
        <cfvo type="percent" val="67"/>
      </iconSet>
    </cfRule>
  </conditionalFormatting>
  <conditionalFormatting sqref="D20:D23">
    <cfRule type="iconSet" priority="5">
      <iconSet>
        <cfvo type="percent" val="0"/>
        <cfvo type="percent" val="33"/>
        <cfvo type="percent" val="67"/>
      </iconSet>
    </cfRule>
  </conditionalFormatting>
  <conditionalFormatting sqref="G14:G16">
    <cfRule type="iconSet" priority="4">
      <iconSet>
        <cfvo type="percent" val="0"/>
        <cfvo type="percent" val="33"/>
        <cfvo type="percent" val="67"/>
      </iconSet>
    </cfRule>
  </conditionalFormatting>
  <conditionalFormatting sqref="G13:G17">
    <cfRule type="iconSet" priority="3">
      <iconSet>
        <cfvo type="percent" val="0"/>
        <cfvo type="percent" val="33"/>
        <cfvo type="percent" val="67"/>
      </iconSet>
    </cfRule>
  </conditionalFormatting>
  <conditionalFormatting sqref="G20">
    <cfRule type="iconSet" priority="2">
      <iconSet>
        <cfvo type="percent" val="0"/>
        <cfvo type="percent" val="33"/>
        <cfvo type="percent" val="67"/>
      </iconSet>
    </cfRule>
  </conditionalFormatting>
  <conditionalFormatting sqref="G21:G23">
    <cfRule type="iconSet" priority="1">
      <iconSet>
        <cfvo type="percent" val="0"/>
        <cfvo type="num" val="1"/>
        <cfvo type="num" val="3"/>
      </iconSet>
    </cfRule>
  </conditionalFormatting>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C2:K44"/>
  <sheetViews>
    <sheetView showGridLines="0" topLeftCell="A18" workbookViewId="0">
      <selection activeCell="C2" sqref="C2:G42"/>
    </sheetView>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296</v>
      </c>
      <c r="D2" s="210"/>
      <c r="E2" s="210"/>
      <c r="F2" s="210"/>
      <c r="G2" s="52"/>
    </row>
    <row r="3" spans="3:7" s="2" customFormat="1" ht="4.5" customHeight="1" x14ac:dyDescent="0.25"/>
    <row r="4" spans="3:7" s="2" customFormat="1" ht="15" customHeight="1" x14ac:dyDescent="0.25">
      <c r="C4" s="211" t="s">
        <v>69</v>
      </c>
      <c r="D4" s="211"/>
      <c r="F4" s="206" t="s">
        <v>79</v>
      </c>
      <c r="G4" s="206"/>
    </row>
    <row r="5" spans="3:7" s="2" customFormat="1" ht="15" customHeight="1" x14ac:dyDescent="0.25">
      <c r="C5" s="54" t="s">
        <v>77</v>
      </c>
      <c r="D5" s="54"/>
      <c r="F5" s="55" t="s">
        <v>78</v>
      </c>
      <c r="G5" s="55"/>
    </row>
    <row r="6" spans="3:7" s="2" customFormat="1" ht="15" hidden="1" customHeight="1" x14ac:dyDescent="0.25">
      <c r="C6" s="212" t="s">
        <v>84</v>
      </c>
      <c r="D6" s="212"/>
      <c r="F6" s="206" t="s">
        <v>80</v>
      </c>
      <c r="G6" s="206"/>
    </row>
    <row r="7" spans="3:7" s="2" customFormat="1" ht="15" hidden="1" customHeight="1" x14ac:dyDescent="0.25">
      <c r="C7" s="212" t="s">
        <v>85</v>
      </c>
      <c r="D7" s="212"/>
      <c r="F7" s="213" t="s">
        <v>81</v>
      </c>
      <c r="G7" s="213"/>
    </row>
    <row r="8" spans="3:7" s="2" customFormat="1" ht="15" customHeight="1" x14ac:dyDescent="0.25">
      <c r="C8" s="205" t="s">
        <v>83</v>
      </c>
      <c r="D8" s="205"/>
      <c r="F8" s="206" t="s">
        <v>329</v>
      </c>
      <c r="G8" s="206"/>
    </row>
    <row r="9" spans="3:7" ht="9.75" customHeight="1" x14ac:dyDescent="0.25"/>
    <row r="10" spans="3:7" ht="18.75" hidden="1" x14ac:dyDescent="0.25">
      <c r="C10" s="196" t="s">
        <v>93</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1</v>
      </c>
      <c r="F14" t="s">
        <v>209</v>
      </c>
      <c r="G14" s="24">
        <v>1</v>
      </c>
    </row>
    <row r="15" spans="3:7" ht="15.75" customHeight="1" x14ac:dyDescent="0.25">
      <c r="C15" t="s">
        <v>71</v>
      </c>
      <c r="D15" s="24">
        <v>1</v>
      </c>
      <c r="F15" s="21" t="s">
        <v>202</v>
      </c>
      <c r="G15" s="24">
        <v>1</v>
      </c>
    </row>
    <row r="16" spans="3:7" ht="15.75" customHeight="1" x14ac:dyDescent="0.25">
      <c r="C16" t="s">
        <v>72</v>
      </c>
      <c r="D16" s="24">
        <v>3</v>
      </c>
      <c r="F16" t="s">
        <v>205</v>
      </c>
      <c r="G16" s="24">
        <v>0</v>
      </c>
    </row>
    <row r="17" spans="3:7" ht="15.75" hidden="1" customHeight="1" x14ac:dyDescent="0.25">
      <c r="D17" s="24">
        <v>3</v>
      </c>
      <c r="G17" s="24">
        <v>3</v>
      </c>
    </row>
    <row r="18" spans="3:7" ht="9.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1</v>
      </c>
      <c r="F21" t="s">
        <v>206</v>
      </c>
      <c r="G21" s="24">
        <v>0</v>
      </c>
    </row>
    <row r="22" spans="3:7" ht="15.75" customHeight="1" x14ac:dyDescent="0.25">
      <c r="C22" t="s">
        <v>210</v>
      </c>
      <c r="D22" s="24">
        <v>1</v>
      </c>
      <c r="F22" t="s">
        <v>204</v>
      </c>
      <c r="G22" s="24">
        <v>0</v>
      </c>
    </row>
    <row r="23" spans="3:7" ht="15.75" customHeight="1" x14ac:dyDescent="0.25">
      <c r="C23" t="s">
        <v>91</v>
      </c>
      <c r="D23" s="24">
        <v>1</v>
      </c>
      <c r="F23" t="s">
        <v>203</v>
      </c>
      <c r="G23" s="24">
        <v>1</v>
      </c>
    </row>
    <row r="24" spans="3:7" ht="15.75" hidden="1" customHeight="1" x14ac:dyDescent="0.25">
      <c r="D24" s="24">
        <v>3</v>
      </c>
      <c r="G24" s="24">
        <v>3</v>
      </c>
    </row>
    <row r="25" spans="3:7" ht="9.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58.5" customHeight="1" x14ac:dyDescent="0.25">
      <c r="C29" s="199" t="s">
        <v>264</v>
      </c>
      <c r="D29" s="199"/>
      <c r="F29" s="200" t="s">
        <v>266</v>
      </c>
      <c r="G29" s="200"/>
    </row>
    <row r="30" spans="3:7" ht="4.5" customHeight="1" x14ac:dyDescent="0.25"/>
    <row r="31" spans="3:7" x14ac:dyDescent="0.25">
      <c r="C31" s="201" t="s">
        <v>2</v>
      </c>
      <c r="D31" s="201"/>
      <c r="F31" s="202" t="s">
        <v>1</v>
      </c>
      <c r="G31" s="202"/>
    </row>
    <row r="32" spans="3:7" ht="83.25" customHeight="1" x14ac:dyDescent="0.25">
      <c r="C32" s="203" t="s">
        <v>265</v>
      </c>
      <c r="D32" s="203"/>
      <c r="F32" s="204" t="s">
        <v>267</v>
      </c>
      <c r="G32" s="204"/>
    </row>
    <row r="33" spans="3:11" ht="9.75" customHeight="1" x14ac:dyDescent="0.25"/>
    <row r="34" spans="3:11" s="1" customFormat="1" ht="18.75" hidden="1" x14ac:dyDescent="0.25">
      <c r="C34" s="196" t="s">
        <v>0</v>
      </c>
      <c r="D34" s="196"/>
      <c r="E34" s="196"/>
      <c r="F34" s="196"/>
      <c r="G34" s="53"/>
      <c r="I34" t="s">
        <v>73</v>
      </c>
      <c r="K34" t="s">
        <v>70</v>
      </c>
    </row>
    <row r="35" spans="3:11" ht="4.5" hidden="1" customHeight="1" x14ac:dyDescent="0.25"/>
    <row r="36" spans="3:11" x14ac:dyDescent="0.25">
      <c r="C36" s="197" t="str">
        <f>"Score total : " &amp;G36&amp; " sur 72  - Pourcentage de scoring : " &amp; ROUND(100*(G36/36),2) &amp; " %"</f>
        <v>Score total : 11 sur 72  - Pourcentage de scoring : 30,56 %</v>
      </c>
      <c r="D36" s="197"/>
      <c r="E36" s="197"/>
      <c r="F36" s="197"/>
      <c r="G36" s="27">
        <f>SUM((D14:D16),D21:D23,G14:G16,G21:G23)</f>
        <v>11</v>
      </c>
      <c r="I36" t="s">
        <v>75</v>
      </c>
      <c r="K36" t="s">
        <v>74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198" t="s">
        <v>268</v>
      </c>
      <c r="D41" s="198"/>
      <c r="E41" s="198"/>
      <c r="F41" s="198"/>
      <c r="G41" s="198"/>
    </row>
    <row r="42" spans="3:11" x14ac:dyDescent="0.25">
      <c r="C42" s="198"/>
      <c r="D42" s="198"/>
      <c r="E42" s="198"/>
      <c r="F42" s="198"/>
      <c r="G42" s="198"/>
    </row>
    <row r="44" spans="3:11" x14ac:dyDescent="0.25">
      <c r="C44" s="30"/>
    </row>
  </sheetData>
  <mergeCells count="22">
    <mergeCell ref="C34:F34"/>
    <mergeCell ref="C36:F36"/>
    <mergeCell ref="C41:G42"/>
    <mergeCell ref="C29:D29"/>
    <mergeCell ref="F29:G29"/>
    <mergeCell ref="C31:D31"/>
    <mergeCell ref="F31:G31"/>
    <mergeCell ref="C32:D32"/>
    <mergeCell ref="F32:G32"/>
    <mergeCell ref="C8:D8"/>
    <mergeCell ref="F8:G8"/>
    <mergeCell ref="C10:G10"/>
    <mergeCell ref="C26:G26"/>
    <mergeCell ref="C28:D28"/>
    <mergeCell ref="F28:G28"/>
    <mergeCell ref="C2:F2"/>
    <mergeCell ref="C4:D4"/>
    <mergeCell ref="F4:G4"/>
    <mergeCell ref="C6:D6"/>
    <mergeCell ref="F6:G6"/>
    <mergeCell ref="C7:D7"/>
    <mergeCell ref="F7:G7"/>
  </mergeCells>
  <conditionalFormatting sqref="D14:D16">
    <cfRule type="iconSet" priority="10">
      <iconSet>
        <cfvo type="percent" val="0"/>
        <cfvo type="percent" val="33"/>
        <cfvo type="percent" val="67"/>
      </iconSet>
    </cfRule>
  </conditionalFormatting>
  <conditionalFormatting sqref="G18:G19">
    <cfRule type="iconSet" priority="9">
      <iconSet>
        <cfvo type="percent" val="0"/>
        <cfvo type="percent" val="33"/>
        <cfvo type="percent" val="67"/>
      </iconSet>
    </cfRule>
  </conditionalFormatting>
  <conditionalFormatting sqref="G36:G39">
    <cfRule type="iconSet" priority="8">
      <iconSet iconSet="5Rating">
        <cfvo type="percent" val="0"/>
        <cfvo type="percent" val="20"/>
        <cfvo type="percent" val="40"/>
        <cfvo type="percent" val="60"/>
        <cfvo type="percent" val="80"/>
      </iconSet>
    </cfRule>
  </conditionalFormatting>
  <conditionalFormatting sqref="D13:D19">
    <cfRule type="iconSet" priority="7">
      <iconSet>
        <cfvo type="percent" val="0"/>
        <cfvo type="percent" val="33"/>
        <cfvo type="percent" val="67"/>
      </iconSet>
    </cfRule>
  </conditionalFormatting>
  <conditionalFormatting sqref="D21:D23">
    <cfRule type="iconSet" priority="6">
      <iconSet>
        <cfvo type="percent" val="0"/>
        <cfvo type="percent" val="33"/>
        <cfvo type="percent" val="67"/>
      </iconSet>
    </cfRule>
  </conditionalFormatting>
  <conditionalFormatting sqref="D20:D24">
    <cfRule type="iconSet" priority="5">
      <iconSet>
        <cfvo type="percent" val="0"/>
        <cfvo type="percent" val="33"/>
        <cfvo type="percent" val="67"/>
      </iconSet>
    </cfRule>
  </conditionalFormatting>
  <conditionalFormatting sqref="G14:G16">
    <cfRule type="iconSet" priority="4">
      <iconSet>
        <cfvo type="percent" val="0"/>
        <cfvo type="percent" val="33"/>
        <cfvo type="percent" val="67"/>
      </iconSet>
    </cfRule>
  </conditionalFormatting>
  <conditionalFormatting sqref="G13:G17">
    <cfRule type="iconSet" priority="3">
      <iconSet>
        <cfvo type="percent" val="0"/>
        <cfvo type="percent" val="33"/>
        <cfvo type="percent" val="67"/>
      </iconSet>
    </cfRule>
  </conditionalFormatting>
  <conditionalFormatting sqref="G21:G23">
    <cfRule type="iconSet" priority="2">
      <iconSet>
        <cfvo type="percent" val="0"/>
        <cfvo type="percent" val="33"/>
        <cfvo type="percent" val="67"/>
      </iconSet>
    </cfRule>
  </conditionalFormatting>
  <conditionalFormatting sqref="G20:G24">
    <cfRule type="iconSet" priority="1">
      <iconSet>
        <cfvo type="percent" val="0"/>
        <cfvo type="percent" val="33"/>
        <cfvo type="percent" val="67"/>
      </iconSet>
    </cfRule>
  </conditionalFormatting>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C2:K44"/>
  <sheetViews>
    <sheetView showGridLines="0" topLeftCell="A33" workbookViewId="0">
      <selection activeCell="C2" sqref="C2:G42"/>
    </sheetView>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231</v>
      </c>
      <c r="D2" s="210"/>
      <c r="E2" s="210"/>
      <c r="F2" s="210"/>
      <c r="G2" s="52"/>
    </row>
    <row r="3" spans="3:7" s="2" customFormat="1" ht="4.5" customHeight="1" x14ac:dyDescent="0.25"/>
    <row r="4" spans="3:7" s="2" customFormat="1" ht="15" customHeight="1" x14ac:dyDescent="0.25">
      <c r="C4" s="211" t="s">
        <v>69</v>
      </c>
      <c r="D4" s="211"/>
      <c r="F4" s="206" t="s">
        <v>188</v>
      </c>
      <c r="G4" s="206"/>
    </row>
    <row r="5" spans="3:7" s="2" customFormat="1" ht="15" customHeight="1" x14ac:dyDescent="0.25">
      <c r="C5" s="54" t="s">
        <v>77</v>
      </c>
      <c r="D5" s="54"/>
      <c r="F5" s="55" t="s">
        <v>237</v>
      </c>
      <c r="G5" s="55"/>
    </row>
    <row r="6" spans="3:7" s="2" customFormat="1" ht="15" hidden="1" customHeight="1" x14ac:dyDescent="0.25">
      <c r="C6" s="212" t="s">
        <v>84</v>
      </c>
      <c r="D6" s="212"/>
      <c r="F6" s="206" t="s">
        <v>80</v>
      </c>
      <c r="G6" s="206"/>
    </row>
    <row r="7" spans="3:7" s="2" customFormat="1" ht="15" hidden="1" customHeight="1" x14ac:dyDescent="0.25">
      <c r="C7" s="212" t="s">
        <v>85</v>
      </c>
      <c r="D7" s="212"/>
      <c r="F7" s="213" t="s">
        <v>81</v>
      </c>
      <c r="G7" s="213"/>
    </row>
    <row r="8" spans="3:7" s="2" customFormat="1" ht="15" customHeight="1" x14ac:dyDescent="0.25">
      <c r="C8" s="205" t="s">
        <v>83</v>
      </c>
      <c r="D8" s="205"/>
      <c r="F8" s="206" t="s">
        <v>238</v>
      </c>
      <c r="G8" s="206"/>
    </row>
    <row r="9" spans="3:7" ht="9.75" customHeight="1" x14ac:dyDescent="0.25"/>
    <row r="10" spans="3:7" ht="18.75" hidden="1" x14ac:dyDescent="0.25">
      <c r="C10" s="196" t="s">
        <v>93</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3</v>
      </c>
      <c r="F14" t="s">
        <v>209</v>
      </c>
      <c r="G14" s="24">
        <v>3</v>
      </c>
    </row>
    <row r="15" spans="3:7" ht="15.75" customHeight="1" x14ac:dyDescent="0.25">
      <c r="C15" t="s">
        <v>71</v>
      </c>
      <c r="D15" s="24">
        <v>3</v>
      </c>
      <c r="F15" s="21" t="s">
        <v>202</v>
      </c>
      <c r="G15" s="24">
        <v>3</v>
      </c>
    </row>
    <row r="16" spans="3:7" ht="15.75" customHeight="1" x14ac:dyDescent="0.25">
      <c r="C16" t="s">
        <v>72</v>
      </c>
      <c r="D16" s="24">
        <v>3</v>
      </c>
      <c r="F16" t="s">
        <v>205</v>
      </c>
      <c r="G16" s="24">
        <v>1</v>
      </c>
    </row>
    <row r="17" spans="3:7" ht="15.75" hidden="1" customHeight="1" x14ac:dyDescent="0.25">
      <c r="D17" s="24">
        <v>3</v>
      </c>
      <c r="G17" s="24">
        <v>3</v>
      </c>
    </row>
    <row r="18" spans="3:7" ht="9.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1</v>
      </c>
      <c r="F21" t="s">
        <v>206</v>
      </c>
      <c r="G21" s="24">
        <v>3</v>
      </c>
    </row>
    <row r="22" spans="3:7" ht="15.75" customHeight="1" x14ac:dyDescent="0.25">
      <c r="C22" t="s">
        <v>210</v>
      </c>
      <c r="D22" s="24">
        <v>3</v>
      </c>
      <c r="F22" t="s">
        <v>204</v>
      </c>
      <c r="G22" s="24">
        <v>3</v>
      </c>
    </row>
    <row r="23" spans="3:7" ht="15.75" customHeight="1" x14ac:dyDescent="0.25">
      <c r="C23" t="s">
        <v>91</v>
      </c>
      <c r="D23" s="24">
        <v>3</v>
      </c>
      <c r="F23" t="s">
        <v>203</v>
      </c>
      <c r="G23" s="24">
        <v>3</v>
      </c>
    </row>
    <row r="24" spans="3:7" ht="15.75" hidden="1" customHeight="1" x14ac:dyDescent="0.25">
      <c r="D24" s="24">
        <v>3</v>
      </c>
      <c r="G24" s="24">
        <v>3</v>
      </c>
    </row>
    <row r="25" spans="3:7" ht="9.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232.5" customHeight="1" x14ac:dyDescent="0.25">
      <c r="C29" s="199" t="s">
        <v>236</v>
      </c>
      <c r="D29" s="199"/>
      <c r="F29" s="200" t="s">
        <v>233</v>
      </c>
      <c r="G29" s="200"/>
    </row>
    <row r="30" spans="3:7" ht="4.5" customHeight="1" x14ac:dyDescent="0.25"/>
    <row r="31" spans="3:7" x14ac:dyDescent="0.25">
      <c r="C31" s="201" t="s">
        <v>2</v>
      </c>
      <c r="D31" s="201"/>
      <c r="F31" s="202" t="s">
        <v>1</v>
      </c>
      <c r="G31" s="202"/>
    </row>
    <row r="32" spans="3:7" ht="228" customHeight="1" x14ac:dyDescent="0.25">
      <c r="C32" s="203" t="s">
        <v>232</v>
      </c>
      <c r="D32" s="203"/>
      <c r="F32" s="204" t="s">
        <v>234</v>
      </c>
      <c r="G32" s="204"/>
    </row>
    <row r="33" spans="3:11" ht="9.75" customHeight="1" x14ac:dyDescent="0.25"/>
    <row r="34" spans="3:11" s="1" customFormat="1" ht="18.75" hidden="1" x14ac:dyDescent="0.25">
      <c r="C34" s="196" t="s">
        <v>0</v>
      </c>
      <c r="D34" s="196"/>
      <c r="E34" s="196"/>
      <c r="F34" s="196"/>
      <c r="G34" s="53"/>
      <c r="I34" t="s">
        <v>73</v>
      </c>
      <c r="K34" t="s">
        <v>70</v>
      </c>
    </row>
    <row r="35" spans="3:11" ht="4.5" hidden="1" customHeight="1" x14ac:dyDescent="0.25"/>
    <row r="36" spans="3:11" x14ac:dyDescent="0.25">
      <c r="C36" s="197" t="str">
        <f>"Score total : " &amp;G36&amp; " sur 36  - Pourcentage de scoring : " &amp; ROUND(100*(G36/36),2) &amp; " %"</f>
        <v>Score total : 32 sur 36  - Pourcentage de scoring : 88,89 %</v>
      </c>
      <c r="D36" s="197"/>
      <c r="E36" s="197"/>
      <c r="F36" s="197"/>
      <c r="G36" s="27">
        <f>SUM(D14:D16,D21:D23,G14:G16,G21:G23)</f>
        <v>32</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214" t="s">
        <v>235</v>
      </c>
      <c r="D41" s="214"/>
      <c r="E41" s="214"/>
      <c r="F41" s="214"/>
      <c r="G41" s="214"/>
    </row>
    <row r="42" spans="3:11" ht="69.75" customHeight="1" x14ac:dyDescent="0.25">
      <c r="C42" s="214"/>
      <c r="D42" s="214"/>
      <c r="E42" s="214"/>
      <c r="F42" s="214"/>
      <c r="G42" s="214"/>
    </row>
    <row r="43" spans="3:11" ht="38.25" customHeight="1" x14ac:dyDescent="0.25"/>
    <row r="44" spans="3:11" x14ac:dyDescent="0.25">
      <c r="C44" s="30"/>
    </row>
  </sheetData>
  <mergeCells count="22">
    <mergeCell ref="C34:F34"/>
    <mergeCell ref="C36:F36"/>
    <mergeCell ref="C41:G42"/>
    <mergeCell ref="C29:D29"/>
    <mergeCell ref="F29:G29"/>
    <mergeCell ref="C31:D31"/>
    <mergeCell ref="F31:G31"/>
    <mergeCell ref="C32:D32"/>
    <mergeCell ref="F32:G32"/>
    <mergeCell ref="C8:D8"/>
    <mergeCell ref="F8:G8"/>
    <mergeCell ref="C10:G10"/>
    <mergeCell ref="C26:G26"/>
    <mergeCell ref="C28:D28"/>
    <mergeCell ref="F28:G28"/>
    <mergeCell ref="C2:F2"/>
    <mergeCell ref="C4:D4"/>
    <mergeCell ref="F4:G4"/>
    <mergeCell ref="C6:D6"/>
    <mergeCell ref="F6:G6"/>
    <mergeCell ref="C7:D7"/>
    <mergeCell ref="F7:G7"/>
  </mergeCells>
  <conditionalFormatting sqref="D14:D16">
    <cfRule type="iconSet" priority="10">
      <iconSet>
        <cfvo type="percent" val="0"/>
        <cfvo type="percent" val="33"/>
        <cfvo type="percent" val="67"/>
      </iconSet>
    </cfRule>
  </conditionalFormatting>
  <conditionalFormatting sqref="G18:G19">
    <cfRule type="iconSet" priority="9">
      <iconSet>
        <cfvo type="percent" val="0"/>
        <cfvo type="percent" val="33"/>
        <cfvo type="percent" val="67"/>
      </iconSet>
    </cfRule>
  </conditionalFormatting>
  <conditionalFormatting sqref="G36:G39">
    <cfRule type="iconSet" priority="8">
      <iconSet iconSet="5Rating">
        <cfvo type="percent" val="0"/>
        <cfvo type="percent" val="20"/>
        <cfvo type="percent" val="40"/>
        <cfvo type="percent" val="60"/>
        <cfvo type="percent" val="80"/>
      </iconSet>
    </cfRule>
  </conditionalFormatting>
  <conditionalFormatting sqref="D13:D19">
    <cfRule type="iconSet" priority="7">
      <iconSet>
        <cfvo type="percent" val="0"/>
        <cfvo type="percent" val="33"/>
        <cfvo type="percent" val="67"/>
      </iconSet>
    </cfRule>
  </conditionalFormatting>
  <conditionalFormatting sqref="D21:D23">
    <cfRule type="iconSet" priority="6">
      <iconSet>
        <cfvo type="percent" val="0"/>
        <cfvo type="percent" val="33"/>
        <cfvo type="percent" val="67"/>
      </iconSet>
    </cfRule>
  </conditionalFormatting>
  <conditionalFormatting sqref="D20:D24">
    <cfRule type="iconSet" priority="5">
      <iconSet>
        <cfvo type="percent" val="0"/>
        <cfvo type="percent" val="33"/>
        <cfvo type="percent" val="67"/>
      </iconSet>
    </cfRule>
  </conditionalFormatting>
  <conditionalFormatting sqref="G14:G16">
    <cfRule type="iconSet" priority="4">
      <iconSet>
        <cfvo type="percent" val="0"/>
        <cfvo type="percent" val="33"/>
        <cfvo type="percent" val="67"/>
      </iconSet>
    </cfRule>
  </conditionalFormatting>
  <conditionalFormatting sqref="G13:G17">
    <cfRule type="iconSet" priority="3">
      <iconSet>
        <cfvo type="percent" val="0"/>
        <cfvo type="percent" val="33"/>
        <cfvo type="percent" val="67"/>
      </iconSet>
    </cfRule>
  </conditionalFormatting>
  <conditionalFormatting sqref="G21:G23">
    <cfRule type="iconSet" priority="2">
      <iconSet>
        <cfvo type="percent" val="0"/>
        <cfvo type="percent" val="33"/>
        <cfvo type="percent" val="67"/>
      </iconSet>
    </cfRule>
  </conditionalFormatting>
  <conditionalFormatting sqref="G20:G24">
    <cfRule type="iconSet" priority="1">
      <iconSet>
        <cfvo type="percent" val="0"/>
        <cfvo type="percent" val="33"/>
        <cfvo type="percent" val="67"/>
      </iconSet>
    </cfRule>
  </conditionalFormatting>
  <pageMargins left="0.7" right="0.7"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C2:K44"/>
  <sheetViews>
    <sheetView showGridLines="0" topLeftCell="A22" workbookViewId="0">
      <selection activeCell="C2" sqref="C2:G42"/>
    </sheetView>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239</v>
      </c>
      <c r="D2" s="210"/>
      <c r="E2" s="210"/>
      <c r="F2" s="210"/>
      <c r="G2" s="52"/>
    </row>
    <row r="3" spans="3:7" s="2" customFormat="1" ht="4.5" customHeight="1" x14ac:dyDescent="0.25"/>
    <row r="4" spans="3:7" s="2" customFormat="1" ht="15" customHeight="1" x14ac:dyDescent="0.25">
      <c r="C4" s="211" t="s">
        <v>69</v>
      </c>
      <c r="D4" s="211"/>
      <c r="F4" s="206" t="s">
        <v>188</v>
      </c>
      <c r="G4" s="206"/>
    </row>
    <row r="5" spans="3:7" s="2" customFormat="1" ht="15" customHeight="1" x14ac:dyDescent="0.25">
      <c r="C5" s="54" t="s">
        <v>77</v>
      </c>
      <c r="D5" s="54"/>
      <c r="F5" s="55" t="s">
        <v>237</v>
      </c>
      <c r="G5" s="55"/>
    </row>
    <row r="6" spans="3:7" s="2" customFormat="1" ht="15" hidden="1" customHeight="1" x14ac:dyDescent="0.25">
      <c r="C6" s="212" t="s">
        <v>84</v>
      </c>
      <c r="D6" s="212"/>
      <c r="F6" s="206" t="s">
        <v>80</v>
      </c>
      <c r="G6" s="206"/>
    </row>
    <row r="7" spans="3:7" s="2" customFormat="1" ht="15" hidden="1" customHeight="1" x14ac:dyDescent="0.25">
      <c r="C7" s="212" t="s">
        <v>85</v>
      </c>
      <c r="D7" s="212"/>
      <c r="F7" s="213" t="s">
        <v>81</v>
      </c>
      <c r="G7" s="213"/>
    </row>
    <row r="8" spans="3:7" s="2" customFormat="1" ht="15" customHeight="1" x14ac:dyDescent="0.25">
      <c r="C8" s="205" t="s">
        <v>83</v>
      </c>
      <c r="D8" s="205"/>
      <c r="F8" s="206" t="s">
        <v>240</v>
      </c>
      <c r="G8" s="206"/>
    </row>
    <row r="9" spans="3:7" ht="9.75" customHeight="1" x14ac:dyDescent="0.25"/>
    <row r="10" spans="3:7" ht="18.75" hidden="1" x14ac:dyDescent="0.25">
      <c r="C10" s="196" t="s">
        <v>93</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0</v>
      </c>
      <c r="F14" t="s">
        <v>209</v>
      </c>
      <c r="G14" s="24">
        <v>1</v>
      </c>
    </row>
    <row r="15" spans="3:7" ht="15.75" customHeight="1" x14ac:dyDescent="0.25">
      <c r="C15" t="s">
        <v>71</v>
      </c>
      <c r="D15" s="24">
        <v>1</v>
      </c>
      <c r="F15" s="21" t="s">
        <v>202</v>
      </c>
      <c r="G15" s="24">
        <v>3</v>
      </c>
    </row>
    <row r="16" spans="3:7" ht="15.75" customHeight="1" x14ac:dyDescent="0.25">
      <c r="C16" t="s">
        <v>72</v>
      </c>
      <c r="D16" s="24">
        <v>3</v>
      </c>
      <c r="F16" t="s">
        <v>205</v>
      </c>
      <c r="G16" s="24">
        <v>3</v>
      </c>
    </row>
    <row r="17" spans="3:7" ht="15.75" hidden="1" customHeight="1" x14ac:dyDescent="0.25">
      <c r="D17" s="24">
        <v>3</v>
      </c>
      <c r="G17" s="24">
        <v>3</v>
      </c>
    </row>
    <row r="18" spans="3:7" ht="9.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3</v>
      </c>
      <c r="F21" t="s">
        <v>206</v>
      </c>
      <c r="G21" s="24">
        <v>1</v>
      </c>
    </row>
    <row r="22" spans="3:7" ht="15.75" customHeight="1" x14ac:dyDescent="0.25">
      <c r="C22" t="s">
        <v>210</v>
      </c>
      <c r="D22" s="24">
        <v>3</v>
      </c>
      <c r="F22" t="s">
        <v>204</v>
      </c>
      <c r="G22" s="24">
        <v>1</v>
      </c>
    </row>
    <row r="23" spans="3:7" ht="15.75" customHeight="1" x14ac:dyDescent="0.25">
      <c r="C23" t="s">
        <v>91</v>
      </c>
      <c r="D23" s="24">
        <v>3</v>
      </c>
      <c r="F23" t="s">
        <v>203</v>
      </c>
      <c r="G23" s="24">
        <v>3</v>
      </c>
    </row>
    <row r="24" spans="3:7" ht="15.75" hidden="1" customHeight="1" x14ac:dyDescent="0.25">
      <c r="D24" s="24">
        <v>3</v>
      </c>
      <c r="G24" s="24">
        <v>3</v>
      </c>
    </row>
    <row r="25" spans="3:7" ht="9.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81" customHeight="1" x14ac:dyDescent="0.25">
      <c r="C29" s="199" t="s">
        <v>244</v>
      </c>
      <c r="D29" s="199"/>
      <c r="F29" s="200" t="s">
        <v>242</v>
      </c>
      <c r="G29" s="200"/>
    </row>
    <row r="30" spans="3:7" ht="4.5" customHeight="1" x14ac:dyDescent="0.25"/>
    <row r="31" spans="3:7" x14ac:dyDescent="0.25">
      <c r="C31" s="201" t="s">
        <v>2</v>
      </c>
      <c r="D31" s="201"/>
      <c r="F31" s="202" t="s">
        <v>1</v>
      </c>
      <c r="G31" s="202"/>
    </row>
    <row r="32" spans="3:7" ht="79.5" customHeight="1" x14ac:dyDescent="0.25">
      <c r="C32" s="203" t="s">
        <v>241</v>
      </c>
      <c r="D32" s="203"/>
      <c r="F32" s="204" t="s">
        <v>243</v>
      </c>
      <c r="G32" s="204"/>
    </row>
    <row r="33" spans="3:11" ht="9.75" customHeight="1" x14ac:dyDescent="0.25"/>
    <row r="34" spans="3:11" s="1" customFormat="1" ht="18.75" hidden="1" x14ac:dyDescent="0.25">
      <c r="C34" s="196" t="s">
        <v>0</v>
      </c>
      <c r="D34" s="196"/>
      <c r="E34" s="196"/>
      <c r="F34" s="196"/>
      <c r="G34" s="53"/>
      <c r="I34" t="s">
        <v>73</v>
      </c>
      <c r="K34" t="s">
        <v>70</v>
      </c>
    </row>
    <row r="35" spans="3:11" ht="4.5" hidden="1" customHeight="1" x14ac:dyDescent="0.25"/>
    <row r="36" spans="3:11" x14ac:dyDescent="0.25">
      <c r="C36" s="197" t="str">
        <f>"Score total : " &amp;G36&amp; " sur 36  - Pourcentage de scoring : " &amp; ROUND(100*(G36/36),2) &amp; " %"</f>
        <v>Score total : 25 sur 36  - Pourcentage de scoring : 69,44 %</v>
      </c>
      <c r="D36" s="197"/>
      <c r="E36" s="197"/>
      <c r="F36" s="197"/>
      <c r="G36" s="27">
        <f>SUM(D14:D16,D21:D23,G14:G16,G21:G23)</f>
        <v>25</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214" t="s">
        <v>245</v>
      </c>
      <c r="D41" s="214"/>
      <c r="E41" s="214"/>
      <c r="F41" s="214"/>
      <c r="G41" s="214"/>
    </row>
    <row r="42" spans="3:11" ht="30" customHeight="1" x14ac:dyDescent="0.25">
      <c r="C42" s="214"/>
      <c r="D42" s="214"/>
      <c r="E42" s="214"/>
      <c r="F42" s="214"/>
      <c r="G42" s="214"/>
    </row>
    <row r="43" spans="3:11" ht="38.25" customHeight="1" x14ac:dyDescent="0.25"/>
    <row r="44" spans="3:11" x14ac:dyDescent="0.25">
      <c r="C44" s="30"/>
    </row>
  </sheetData>
  <mergeCells count="22">
    <mergeCell ref="C34:F34"/>
    <mergeCell ref="C36:F36"/>
    <mergeCell ref="C41:G42"/>
    <mergeCell ref="C29:D29"/>
    <mergeCell ref="F29:G29"/>
    <mergeCell ref="C31:D31"/>
    <mergeCell ref="F31:G31"/>
    <mergeCell ref="C32:D32"/>
    <mergeCell ref="F32:G32"/>
    <mergeCell ref="C8:D8"/>
    <mergeCell ref="F8:G8"/>
    <mergeCell ref="C10:G10"/>
    <mergeCell ref="C26:G26"/>
    <mergeCell ref="C28:D28"/>
    <mergeCell ref="F28:G28"/>
    <mergeCell ref="C2:F2"/>
    <mergeCell ref="C4:D4"/>
    <mergeCell ref="F4:G4"/>
    <mergeCell ref="C6:D6"/>
    <mergeCell ref="F6:G6"/>
    <mergeCell ref="C7:D7"/>
    <mergeCell ref="F7:G7"/>
  </mergeCells>
  <conditionalFormatting sqref="D14:D16">
    <cfRule type="iconSet" priority="10">
      <iconSet>
        <cfvo type="percent" val="0"/>
        <cfvo type="percent" val="33"/>
        <cfvo type="percent" val="67"/>
      </iconSet>
    </cfRule>
  </conditionalFormatting>
  <conditionalFormatting sqref="G18:G19">
    <cfRule type="iconSet" priority="9">
      <iconSet>
        <cfvo type="percent" val="0"/>
        <cfvo type="percent" val="33"/>
        <cfvo type="percent" val="67"/>
      </iconSet>
    </cfRule>
  </conditionalFormatting>
  <conditionalFormatting sqref="G36:G39">
    <cfRule type="iconSet" priority="8">
      <iconSet iconSet="5Rating">
        <cfvo type="percent" val="0"/>
        <cfvo type="percent" val="20"/>
        <cfvo type="percent" val="40"/>
        <cfvo type="percent" val="60"/>
        <cfvo type="percent" val="80"/>
      </iconSet>
    </cfRule>
  </conditionalFormatting>
  <conditionalFormatting sqref="D13:D19">
    <cfRule type="iconSet" priority="7">
      <iconSet>
        <cfvo type="percent" val="0"/>
        <cfvo type="percent" val="33"/>
        <cfvo type="percent" val="67"/>
      </iconSet>
    </cfRule>
  </conditionalFormatting>
  <conditionalFormatting sqref="D21:D23">
    <cfRule type="iconSet" priority="6">
      <iconSet>
        <cfvo type="percent" val="0"/>
        <cfvo type="percent" val="33"/>
        <cfvo type="percent" val="67"/>
      </iconSet>
    </cfRule>
  </conditionalFormatting>
  <conditionalFormatting sqref="D20:D24">
    <cfRule type="iconSet" priority="5">
      <iconSet>
        <cfvo type="percent" val="0"/>
        <cfvo type="percent" val="33"/>
        <cfvo type="percent" val="67"/>
      </iconSet>
    </cfRule>
  </conditionalFormatting>
  <conditionalFormatting sqref="G14:G16">
    <cfRule type="iconSet" priority="4">
      <iconSet>
        <cfvo type="percent" val="0"/>
        <cfvo type="percent" val="33"/>
        <cfvo type="percent" val="67"/>
      </iconSet>
    </cfRule>
  </conditionalFormatting>
  <conditionalFormatting sqref="G13:G17">
    <cfRule type="iconSet" priority="3">
      <iconSet>
        <cfvo type="percent" val="0"/>
        <cfvo type="percent" val="33"/>
        <cfvo type="percent" val="67"/>
      </iconSet>
    </cfRule>
  </conditionalFormatting>
  <conditionalFormatting sqref="G21:G23">
    <cfRule type="iconSet" priority="2">
      <iconSet>
        <cfvo type="percent" val="0"/>
        <cfvo type="percent" val="33"/>
        <cfvo type="percent" val="67"/>
      </iconSet>
    </cfRule>
  </conditionalFormatting>
  <conditionalFormatting sqref="G20:G24">
    <cfRule type="iconSet" priority="1">
      <iconSet>
        <cfvo type="percent" val="0"/>
        <cfvo type="percent" val="33"/>
        <cfvo type="percent" val="67"/>
      </iconSet>
    </cfRule>
  </conditionalFormatting>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C2:K44"/>
  <sheetViews>
    <sheetView showGridLines="0" topLeftCell="A30" workbookViewId="0">
      <selection activeCell="C2" sqref="C2:G42"/>
    </sheetView>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252</v>
      </c>
      <c r="D2" s="210"/>
      <c r="E2" s="210"/>
      <c r="F2" s="210"/>
      <c r="G2" s="22"/>
    </row>
    <row r="3" spans="3:7" s="2" customFormat="1" ht="4.5" customHeight="1" x14ac:dyDescent="0.25"/>
    <row r="4" spans="3:7" s="2" customFormat="1" ht="15" customHeight="1" x14ac:dyDescent="0.25">
      <c r="C4" s="211" t="s">
        <v>69</v>
      </c>
      <c r="D4" s="211"/>
      <c r="F4" s="206" t="s">
        <v>96</v>
      </c>
      <c r="G4" s="206"/>
    </row>
    <row r="5" spans="3:7" s="2" customFormat="1" ht="15" customHeight="1" x14ac:dyDescent="0.25">
      <c r="C5" s="28" t="s">
        <v>77</v>
      </c>
      <c r="D5" s="28"/>
      <c r="F5" s="29" t="s">
        <v>106</v>
      </c>
      <c r="G5" s="29"/>
    </row>
    <row r="6" spans="3:7" s="2" customFormat="1" ht="15" hidden="1" customHeight="1" x14ac:dyDescent="0.25">
      <c r="C6" s="212" t="s">
        <v>84</v>
      </c>
      <c r="D6" s="212"/>
      <c r="F6" s="206" t="s">
        <v>80</v>
      </c>
      <c r="G6" s="206"/>
    </row>
    <row r="7" spans="3:7" s="2" customFormat="1" ht="15" hidden="1" customHeight="1" x14ac:dyDescent="0.25">
      <c r="C7" s="212" t="s">
        <v>85</v>
      </c>
      <c r="D7" s="212"/>
      <c r="F7" s="213" t="s">
        <v>81</v>
      </c>
      <c r="G7" s="213"/>
    </row>
    <row r="8" spans="3:7" s="2" customFormat="1" ht="15" customHeight="1" x14ac:dyDescent="0.25">
      <c r="C8" s="205" t="s">
        <v>83</v>
      </c>
      <c r="D8" s="205"/>
      <c r="F8" s="206" t="s">
        <v>257</v>
      </c>
      <c r="G8" s="206"/>
    </row>
    <row r="9" spans="3:7" ht="9.75" customHeight="1" x14ac:dyDescent="0.25"/>
    <row r="10" spans="3:7" ht="18.75" hidden="1" x14ac:dyDescent="0.25">
      <c r="C10" s="196" t="s">
        <v>93</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3</v>
      </c>
      <c r="F14" t="s">
        <v>209</v>
      </c>
      <c r="G14" s="24">
        <v>3</v>
      </c>
    </row>
    <row r="15" spans="3:7" ht="15.75" customHeight="1" x14ac:dyDescent="0.25">
      <c r="C15" t="s">
        <v>71</v>
      </c>
      <c r="D15" s="24">
        <v>3</v>
      </c>
      <c r="F15" s="21" t="s">
        <v>202</v>
      </c>
      <c r="G15" s="24">
        <v>3</v>
      </c>
    </row>
    <row r="16" spans="3:7" ht="15.75" customHeight="1" x14ac:dyDescent="0.25">
      <c r="C16" t="s">
        <v>72</v>
      </c>
      <c r="D16" s="24">
        <v>0</v>
      </c>
      <c r="F16" t="s">
        <v>205</v>
      </c>
      <c r="G16" s="24">
        <v>3</v>
      </c>
    </row>
    <row r="17" spans="3:7" ht="15.75" hidden="1" customHeight="1" x14ac:dyDescent="0.25">
      <c r="D17" s="24">
        <v>3</v>
      </c>
      <c r="G17" s="24">
        <v>3</v>
      </c>
    </row>
    <row r="18" spans="3:7" ht="9.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1</v>
      </c>
      <c r="F21" t="s">
        <v>206</v>
      </c>
      <c r="G21" s="24">
        <v>3</v>
      </c>
    </row>
    <row r="22" spans="3:7" ht="15.75" customHeight="1" x14ac:dyDescent="0.25">
      <c r="C22" t="s">
        <v>210</v>
      </c>
      <c r="D22" s="24">
        <v>3</v>
      </c>
      <c r="F22" t="s">
        <v>204</v>
      </c>
      <c r="G22" s="24">
        <v>3</v>
      </c>
    </row>
    <row r="23" spans="3:7" ht="15.75" customHeight="1" x14ac:dyDescent="0.25">
      <c r="C23" t="s">
        <v>91</v>
      </c>
      <c r="D23" s="24">
        <v>0</v>
      </c>
      <c r="F23" t="s">
        <v>203</v>
      </c>
      <c r="G23" s="24">
        <v>1</v>
      </c>
    </row>
    <row r="24" spans="3:7" ht="15.75" hidden="1" customHeight="1" x14ac:dyDescent="0.25">
      <c r="D24" s="24">
        <v>3</v>
      </c>
      <c r="G24" s="24">
        <v>3</v>
      </c>
    </row>
    <row r="25" spans="3:7" ht="9.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97.5" customHeight="1" x14ac:dyDescent="0.25">
      <c r="C29" s="199" t="s">
        <v>107</v>
      </c>
      <c r="D29" s="199"/>
      <c r="F29" s="200" t="s">
        <v>253</v>
      </c>
      <c r="G29" s="200"/>
    </row>
    <row r="30" spans="3:7" ht="4.5" customHeight="1" x14ac:dyDescent="0.25"/>
    <row r="31" spans="3:7" x14ac:dyDescent="0.25">
      <c r="C31" s="201" t="s">
        <v>2</v>
      </c>
      <c r="D31" s="201"/>
      <c r="F31" s="202" t="s">
        <v>1</v>
      </c>
      <c r="G31" s="202"/>
    </row>
    <row r="32" spans="3:7" ht="121.5" customHeight="1" x14ac:dyDescent="0.25">
      <c r="C32" s="203" t="s">
        <v>255</v>
      </c>
      <c r="D32" s="203"/>
      <c r="F32" s="204" t="s">
        <v>254</v>
      </c>
      <c r="G32" s="204"/>
    </row>
    <row r="33" spans="3:11" ht="9.75" customHeight="1" x14ac:dyDescent="0.25"/>
    <row r="34" spans="3:11" s="1" customFormat="1" ht="18.75" hidden="1" x14ac:dyDescent="0.25">
      <c r="C34" s="196" t="s">
        <v>0</v>
      </c>
      <c r="D34" s="196"/>
      <c r="E34" s="196"/>
      <c r="F34" s="196"/>
      <c r="G34" s="23"/>
      <c r="I34" t="s">
        <v>73</v>
      </c>
      <c r="K34" t="s">
        <v>70</v>
      </c>
    </row>
    <row r="35" spans="3:11" ht="4.5" hidden="1" customHeight="1" x14ac:dyDescent="0.25"/>
    <row r="36" spans="3:11" x14ac:dyDescent="0.25">
      <c r="C36" s="197" t="str">
        <f>"Score total : " &amp;G36&amp; " sur 72  - Pourcentage de scoring : " &amp; ROUND(100*(G36/36),2) &amp; " %"</f>
        <v>Score total : 26 sur 72  - Pourcentage de scoring : 72,22 %</v>
      </c>
      <c r="D36" s="197"/>
      <c r="E36" s="197"/>
      <c r="F36" s="197"/>
      <c r="G36" s="27">
        <f>SUM((D14:D16),D21:D23,G14:G16,G21:G23)</f>
        <v>26</v>
      </c>
      <c r="I36" t="s">
        <v>75</v>
      </c>
      <c r="K36" t="s">
        <v>74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214" t="s">
        <v>256</v>
      </c>
      <c r="D41" s="214"/>
      <c r="E41" s="214"/>
      <c r="F41" s="214"/>
      <c r="G41" s="214"/>
    </row>
    <row r="42" spans="3:11" ht="39" customHeight="1" x14ac:dyDescent="0.25">
      <c r="C42" s="214"/>
      <c r="D42" s="214"/>
      <c r="E42" s="214"/>
      <c r="F42" s="214"/>
      <c r="G42" s="214"/>
    </row>
    <row r="44" spans="3:11" x14ac:dyDescent="0.25">
      <c r="C44" s="30"/>
    </row>
  </sheetData>
  <mergeCells count="22">
    <mergeCell ref="C7:D7"/>
    <mergeCell ref="F7:G7"/>
    <mergeCell ref="C2:F2"/>
    <mergeCell ref="C4:D4"/>
    <mergeCell ref="F4:G4"/>
    <mergeCell ref="C6:D6"/>
    <mergeCell ref="F6:G6"/>
    <mergeCell ref="C8:D8"/>
    <mergeCell ref="F8:G8"/>
    <mergeCell ref="C10:G10"/>
    <mergeCell ref="C26:G26"/>
    <mergeCell ref="C28:D28"/>
    <mergeCell ref="F28:G28"/>
    <mergeCell ref="C34:F34"/>
    <mergeCell ref="C36:F36"/>
    <mergeCell ref="C41:G42"/>
    <mergeCell ref="C29:D29"/>
    <mergeCell ref="F29:G29"/>
    <mergeCell ref="C31:D31"/>
    <mergeCell ref="F31:G31"/>
    <mergeCell ref="C32:D32"/>
    <mergeCell ref="F32:G32"/>
  </mergeCells>
  <conditionalFormatting sqref="G36:G39">
    <cfRule type="iconSet" priority="17">
      <iconSet iconSet="5Rating">
        <cfvo type="percent" val="0"/>
        <cfvo type="percent" val="20"/>
        <cfvo type="percent" val="40"/>
        <cfvo type="percent" val="60"/>
        <cfvo type="percent" val="80"/>
      </iconSet>
    </cfRule>
  </conditionalFormatting>
  <conditionalFormatting sqref="D24">
    <cfRule type="iconSet" priority="14">
      <iconSet>
        <cfvo type="percent" val="0"/>
        <cfvo type="percent" val="33"/>
        <cfvo type="percent" val="67"/>
      </iconSet>
    </cfRule>
  </conditionalFormatting>
  <conditionalFormatting sqref="G24">
    <cfRule type="iconSet" priority="10">
      <iconSet>
        <cfvo type="percent" val="0"/>
        <cfvo type="percent" val="33"/>
        <cfvo type="percent" val="67"/>
      </iconSet>
    </cfRule>
  </conditionalFormatting>
  <conditionalFormatting sqref="D14:D16">
    <cfRule type="iconSet" priority="9">
      <iconSet>
        <cfvo type="percent" val="0"/>
        <cfvo type="percent" val="33"/>
        <cfvo type="percent" val="67"/>
      </iconSet>
    </cfRule>
  </conditionalFormatting>
  <conditionalFormatting sqref="G18:G19">
    <cfRule type="iconSet" priority="8">
      <iconSet>
        <cfvo type="percent" val="0"/>
        <cfvo type="percent" val="33"/>
        <cfvo type="percent" val="67"/>
      </iconSet>
    </cfRule>
  </conditionalFormatting>
  <conditionalFormatting sqref="D13:D19">
    <cfRule type="iconSet" priority="7">
      <iconSet>
        <cfvo type="percent" val="0"/>
        <cfvo type="percent" val="33"/>
        <cfvo type="percent" val="67"/>
      </iconSet>
    </cfRule>
  </conditionalFormatting>
  <conditionalFormatting sqref="D21:D23">
    <cfRule type="iconSet" priority="6">
      <iconSet>
        <cfvo type="percent" val="0"/>
        <cfvo type="percent" val="33"/>
        <cfvo type="percent" val="67"/>
      </iconSet>
    </cfRule>
  </conditionalFormatting>
  <conditionalFormatting sqref="D20:D23">
    <cfRule type="iconSet" priority="5">
      <iconSet>
        <cfvo type="percent" val="0"/>
        <cfvo type="percent" val="33"/>
        <cfvo type="percent" val="67"/>
      </iconSet>
    </cfRule>
  </conditionalFormatting>
  <conditionalFormatting sqref="G14:G16">
    <cfRule type="iconSet" priority="4">
      <iconSet>
        <cfvo type="percent" val="0"/>
        <cfvo type="percent" val="33"/>
        <cfvo type="percent" val="67"/>
      </iconSet>
    </cfRule>
  </conditionalFormatting>
  <conditionalFormatting sqref="G13:G17">
    <cfRule type="iconSet" priority="3">
      <iconSet>
        <cfvo type="percent" val="0"/>
        <cfvo type="percent" val="33"/>
        <cfvo type="percent" val="67"/>
      </iconSet>
    </cfRule>
  </conditionalFormatting>
  <conditionalFormatting sqref="G21:G23">
    <cfRule type="iconSet" priority="2">
      <iconSet>
        <cfvo type="percent" val="0"/>
        <cfvo type="percent" val="33"/>
        <cfvo type="percent" val="67"/>
      </iconSet>
    </cfRule>
  </conditionalFormatting>
  <conditionalFormatting sqref="G20:G23">
    <cfRule type="iconSet" priority="1">
      <iconSet>
        <cfvo type="percent" val="0"/>
        <cfvo type="percent" val="33"/>
        <cfvo type="percent" val="67"/>
      </iconSet>
    </cfRule>
  </conditionalFormatting>
  <pageMargins left="0.7" right="0.7" top="0.75" bottom="0.75" header="0.3" footer="0.3"/>
  <pageSetup paperSize="9"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C2:K42"/>
  <sheetViews>
    <sheetView showGridLines="0" topLeftCell="A30" workbookViewId="0">
      <selection activeCell="C2" sqref="C2:G42"/>
    </sheetView>
  </sheetViews>
  <sheetFormatPr baseColWidth="10" defaultRowHeight="15" x14ac:dyDescent="0.25"/>
  <cols>
    <col min="1" max="1" width="16" customWidth="1"/>
    <col min="2" max="2" width="2.85546875" customWidth="1"/>
    <col min="3" max="3" width="53.570312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294</v>
      </c>
      <c r="D2" s="210"/>
      <c r="E2" s="210"/>
      <c r="F2" s="210"/>
      <c r="G2" s="22"/>
    </row>
    <row r="3" spans="3:7" s="2" customFormat="1" ht="4.5" customHeight="1" x14ac:dyDescent="0.25"/>
    <row r="4" spans="3:7" s="2" customFormat="1" ht="15" customHeight="1" x14ac:dyDescent="0.25">
      <c r="C4" s="211" t="s">
        <v>69</v>
      </c>
      <c r="D4" s="211"/>
      <c r="F4" s="206" t="s">
        <v>295</v>
      </c>
      <c r="G4" s="206"/>
    </row>
    <row r="5" spans="3:7" s="2" customFormat="1" ht="15" customHeight="1" x14ac:dyDescent="0.25">
      <c r="C5" s="28" t="s">
        <v>77</v>
      </c>
      <c r="D5" s="28"/>
      <c r="F5" s="29" t="s">
        <v>27</v>
      </c>
      <c r="G5" s="29"/>
    </row>
    <row r="6" spans="3:7" s="2" customFormat="1" ht="15" hidden="1" customHeight="1" x14ac:dyDescent="0.25">
      <c r="C6" s="212" t="s">
        <v>84</v>
      </c>
      <c r="D6" s="212"/>
      <c r="F6" s="206" t="s">
        <v>88</v>
      </c>
      <c r="G6" s="206"/>
    </row>
    <row r="7" spans="3:7" s="2" customFormat="1" ht="15" hidden="1" customHeight="1" x14ac:dyDescent="0.25">
      <c r="C7" s="212" t="s">
        <v>85</v>
      </c>
      <c r="D7" s="212"/>
      <c r="F7" s="213" t="s">
        <v>94</v>
      </c>
      <c r="G7" s="213"/>
    </row>
    <row r="8" spans="3:7" s="2" customFormat="1" ht="15" customHeight="1" x14ac:dyDescent="0.25">
      <c r="C8" s="205" t="s">
        <v>83</v>
      </c>
      <c r="D8" s="205"/>
      <c r="F8" s="206" t="s">
        <v>95</v>
      </c>
      <c r="G8" s="206"/>
    </row>
    <row r="9" spans="3:7" ht="7.5" customHeight="1" x14ac:dyDescent="0.25"/>
    <row r="10" spans="3:7" ht="18.75" hidden="1" x14ac:dyDescent="0.25">
      <c r="C10" s="196" t="s">
        <v>76</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3</v>
      </c>
      <c r="F14" t="s">
        <v>209</v>
      </c>
      <c r="G14" s="24">
        <v>3</v>
      </c>
    </row>
    <row r="15" spans="3:7" ht="15.75" customHeight="1" x14ac:dyDescent="0.25">
      <c r="C15" t="s">
        <v>71</v>
      </c>
      <c r="D15" s="24">
        <v>3</v>
      </c>
      <c r="F15" s="21" t="s">
        <v>202</v>
      </c>
      <c r="G15" s="24">
        <v>3</v>
      </c>
    </row>
    <row r="16" spans="3:7" ht="15.75" customHeight="1" x14ac:dyDescent="0.25">
      <c r="C16" t="s">
        <v>72</v>
      </c>
      <c r="D16" s="24">
        <v>0</v>
      </c>
      <c r="F16" t="s">
        <v>205</v>
      </c>
      <c r="G16" s="24">
        <v>0</v>
      </c>
    </row>
    <row r="17" spans="3:7" ht="15.75" hidden="1" customHeight="1" x14ac:dyDescent="0.25">
      <c r="D17" s="24">
        <v>3</v>
      </c>
      <c r="G17" s="24">
        <v>3</v>
      </c>
    </row>
    <row r="18" spans="3:7" ht="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0</v>
      </c>
      <c r="F21" t="s">
        <v>206</v>
      </c>
      <c r="G21" s="24">
        <v>1</v>
      </c>
    </row>
    <row r="22" spans="3:7" ht="15.75" customHeight="1" x14ac:dyDescent="0.25">
      <c r="C22" t="s">
        <v>210</v>
      </c>
      <c r="D22" s="24">
        <v>3</v>
      </c>
      <c r="F22" t="s">
        <v>204</v>
      </c>
      <c r="G22" s="24">
        <v>1</v>
      </c>
    </row>
    <row r="23" spans="3:7" ht="15.75" customHeight="1" x14ac:dyDescent="0.25">
      <c r="C23" t="s">
        <v>91</v>
      </c>
      <c r="D23" s="24">
        <v>0</v>
      </c>
      <c r="F23" t="s">
        <v>203</v>
      </c>
      <c r="G23" s="24">
        <v>0</v>
      </c>
    </row>
    <row r="24" spans="3:7" ht="15.75" hidden="1" customHeight="1" x14ac:dyDescent="0.25">
      <c r="D24" s="24">
        <v>3</v>
      </c>
      <c r="G24" s="24">
        <v>3</v>
      </c>
    </row>
    <row r="25" spans="3:7" ht="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189" customHeight="1" x14ac:dyDescent="0.25">
      <c r="C29" s="199" t="s">
        <v>115</v>
      </c>
      <c r="D29" s="199"/>
      <c r="F29" s="200" t="s">
        <v>105</v>
      </c>
      <c r="G29" s="200"/>
    </row>
    <row r="30" spans="3:7" ht="4.5" customHeight="1" x14ac:dyDescent="0.25"/>
    <row r="31" spans="3:7" x14ac:dyDescent="0.25">
      <c r="C31" s="201" t="s">
        <v>2</v>
      </c>
      <c r="D31" s="201"/>
      <c r="F31" s="202" t="s">
        <v>1</v>
      </c>
      <c r="G31" s="202"/>
    </row>
    <row r="32" spans="3:7" ht="111" customHeight="1" x14ac:dyDescent="0.25">
      <c r="C32" s="203" t="s">
        <v>135</v>
      </c>
      <c r="D32" s="203"/>
      <c r="F32" s="204" t="s">
        <v>258</v>
      </c>
      <c r="G32" s="204"/>
    </row>
    <row r="33" spans="3:11" ht="9.75" customHeight="1" x14ac:dyDescent="0.25"/>
    <row r="34" spans="3:11" s="1" customFormat="1" ht="18.75" hidden="1" x14ac:dyDescent="0.25">
      <c r="C34" s="196" t="s">
        <v>0</v>
      </c>
      <c r="D34" s="196"/>
      <c r="E34" s="196"/>
      <c r="F34" s="196"/>
      <c r="G34" s="23"/>
      <c r="I34" t="s">
        <v>73</v>
      </c>
      <c r="K34" t="s">
        <v>70</v>
      </c>
    </row>
    <row r="35" spans="3:11" ht="4.5" hidden="1" customHeight="1" x14ac:dyDescent="0.25"/>
    <row r="36" spans="3:11" x14ac:dyDescent="0.25">
      <c r="C36" s="197" t="str">
        <f>"Score total : " &amp;G36&amp; " sur 72  - Pourcentage de scoring : " &amp; ROUND(100*(G36/36),2) &amp; " %"</f>
        <v>Score total : 17 sur 72  - Pourcentage de scoring : 47,22 %</v>
      </c>
      <c r="D36" s="197"/>
      <c r="E36" s="197"/>
      <c r="F36" s="197"/>
      <c r="G36" s="27">
        <f>SUM((D14:D16),D21:D23,G14:G16,G21:G23)</f>
        <v>17</v>
      </c>
      <c r="I36" t="s">
        <v>75</v>
      </c>
      <c r="K36" t="s">
        <v>74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198" t="s">
        <v>259</v>
      </c>
      <c r="D41" s="198"/>
      <c r="E41" s="198"/>
      <c r="F41" s="198"/>
      <c r="G41" s="198"/>
    </row>
    <row r="42" spans="3:11" ht="30.75" customHeight="1" x14ac:dyDescent="0.25">
      <c r="C42" s="198"/>
      <c r="D42" s="198"/>
      <c r="E42" s="198"/>
      <c r="F42" s="198"/>
      <c r="G42" s="198"/>
    </row>
  </sheetData>
  <mergeCells count="22">
    <mergeCell ref="C7:D7"/>
    <mergeCell ref="F7:G7"/>
    <mergeCell ref="C2:F2"/>
    <mergeCell ref="C4:D4"/>
    <mergeCell ref="F4:G4"/>
    <mergeCell ref="C6:D6"/>
    <mergeCell ref="F6:G6"/>
    <mergeCell ref="C8:D8"/>
    <mergeCell ref="F8:G8"/>
    <mergeCell ref="C10:G10"/>
    <mergeCell ref="C26:G26"/>
    <mergeCell ref="C28:D28"/>
    <mergeCell ref="F28:G28"/>
    <mergeCell ref="C34:F34"/>
    <mergeCell ref="C36:F36"/>
    <mergeCell ref="C41:G42"/>
    <mergeCell ref="C29:D29"/>
    <mergeCell ref="F29:G29"/>
    <mergeCell ref="C31:D31"/>
    <mergeCell ref="F31:G31"/>
    <mergeCell ref="C32:D32"/>
    <mergeCell ref="F32:G32"/>
  </mergeCells>
  <conditionalFormatting sqref="G36:G39">
    <cfRule type="iconSet" priority="18">
      <iconSet iconSet="5Rating">
        <cfvo type="percent" val="0"/>
        <cfvo type="percent" val="20"/>
        <cfvo type="percent" val="40"/>
        <cfvo type="percent" val="60"/>
        <cfvo type="percent" val="80"/>
      </iconSet>
    </cfRule>
  </conditionalFormatting>
  <conditionalFormatting sqref="D24">
    <cfRule type="iconSet" priority="15">
      <iconSet>
        <cfvo type="percent" val="0"/>
        <cfvo type="percent" val="33"/>
        <cfvo type="percent" val="67"/>
      </iconSet>
    </cfRule>
  </conditionalFormatting>
  <conditionalFormatting sqref="G24">
    <cfRule type="iconSet" priority="11">
      <iconSet>
        <cfvo type="percent" val="0"/>
        <cfvo type="percent" val="33"/>
        <cfvo type="percent" val="67"/>
      </iconSet>
    </cfRule>
  </conditionalFormatting>
  <conditionalFormatting sqref="D14:D16">
    <cfRule type="iconSet" priority="10">
      <iconSet>
        <cfvo type="percent" val="0"/>
        <cfvo type="percent" val="33"/>
        <cfvo type="percent" val="67"/>
      </iconSet>
    </cfRule>
  </conditionalFormatting>
  <conditionalFormatting sqref="G18:G19">
    <cfRule type="iconSet" priority="9">
      <iconSet>
        <cfvo type="percent" val="0"/>
        <cfvo type="percent" val="33"/>
        <cfvo type="percent" val="67"/>
      </iconSet>
    </cfRule>
  </conditionalFormatting>
  <conditionalFormatting sqref="D13:D19">
    <cfRule type="iconSet" priority="8">
      <iconSet>
        <cfvo type="percent" val="0"/>
        <cfvo type="percent" val="33"/>
        <cfvo type="percent" val="67"/>
      </iconSet>
    </cfRule>
  </conditionalFormatting>
  <conditionalFormatting sqref="D21:D23">
    <cfRule type="iconSet" priority="7">
      <iconSet>
        <cfvo type="percent" val="0"/>
        <cfvo type="percent" val="33"/>
        <cfvo type="percent" val="67"/>
      </iconSet>
    </cfRule>
  </conditionalFormatting>
  <conditionalFormatting sqref="D20:D23">
    <cfRule type="iconSet" priority="6">
      <iconSet>
        <cfvo type="percent" val="0"/>
        <cfvo type="percent" val="33"/>
        <cfvo type="percent" val="67"/>
      </iconSet>
    </cfRule>
  </conditionalFormatting>
  <conditionalFormatting sqref="G14:G16">
    <cfRule type="iconSet" priority="5">
      <iconSet>
        <cfvo type="percent" val="0"/>
        <cfvo type="percent" val="33"/>
        <cfvo type="percent" val="67"/>
      </iconSet>
    </cfRule>
  </conditionalFormatting>
  <conditionalFormatting sqref="G13:G17">
    <cfRule type="iconSet" priority="4">
      <iconSet>
        <cfvo type="percent" val="0"/>
        <cfvo type="percent" val="33"/>
        <cfvo type="percent" val="67"/>
      </iconSet>
    </cfRule>
  </conditionalFormatting>
  <conditionalFormatting sqref="G20">
    <cfRule type="iconSet" priority="2">
      <iconSet>
        <cfvo type="percent" val="0"/>
        <cfvo type="percent" val="33"/>
        <cfvo type="percent" val="67"/>
      </iconSet>
    </cfRule>
  </conditionalFormatting>
  <conditionalFormatting sqref="G21:G23">
    <cfRule type="iconSet" priority="1">
      <iconSet>
        <cfvo type="percent" val="0"/>
        <cfvo type="num" val="1"/>
        <cfvo type="num" val="3"/>
      </iconSet>
    </cfRule>
  </conditionalFormatting>
  <pageMargins left="0.7" right="0.7" top="0.75" bottom="0.75" header="0.3" footer="0.3"/>
  <pageSetup paperSize="9"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C2:K42"/>
  <sheetViews>
    <sheetView showGridLines="0" topLeftCell="A29" workbookViewId="0">
      <selection activeCell="C2" sqref="C2:G42"/>
    </sheetView>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262</v>
      </c>
      <c r="D2" s="210"/>
      <c r="E2" s="210"/>
      <c r="F2" s="210"/>
      <c r="G2" s="22"/>
    </row>
    <row r="3" spans="3:7" s="2" customFormat="1" ht="4.5" customHeight="1" x14ac:dyDescent="0.25"/>
    <row r="4" spans="3:7" s="2" customFormat="1" ht="15" customHeight="1" x14ac:dyDescent="0.25">
      <c r="C4" s="211" t="s">
        <v>69</v>
      </c>
      <c r="D4" s="211"/>
      <c r="F4" s="206" t="s">
        <v>96</v>
      </c>
      <c r="G4" s="206"/>
    </row>
    <row r="5" spans="3:7" s="2" customFormat="1" ht="15" customHeight="1" x14ac:dyDescent="0.25">
      <c r="C5" s="28" t="s">
        <v>77</v>
      </c>
      <c r="D5" s="28"/>
      <c r="F5" s="29" t="s">
        <v>27</v>
      </c>
      <c r="G5" s="29"/>
    </row>
    <row r="6" spans="3:7" s="2" customFormat="1" ht="15" hidden="1" customHeight="1" x14ac:dyDescent="0.25">
      <c r="C6" s="212" t="s">
        <v>84</v>
      </c>
      <c r="D6" s="212"/>
      <c r="F6" s="206" t="s">
        <v>88</v>
      </c>
      <c r="G6" s="206"/>
    </row>
    <row r="7" spans="3:7" s="2" customFormat="1" ht="15" hidden="1" customHeight="1" x14ac:dyDescent="0.25">
      <c r="C7" s="212" t="s">
        <v>85</v>
      </c>
      <c r="D7" s="212"/>
      <c r="F7" s="213" t="s">
        <v>97</v>
      </c>
      <c r="G7" s="213"/>
    </row>
    <row r="8" spans="3:7" s="2" customFormat="1" ht="15" customHeight="1" x14ac:dyDescent="0.25">
      <c r="C8" s="205" t="s">
        <v>83</v>
      </c>
      <c r="D8" s="205"/>
      <c r="F8" s="206" t="s">
        <v>98</v>
      </c>
      <c r="G8" s="206"/>
    </row>
    <row r="9" spans="3:7" ht="7.5" customHeight="1" x14ac:dyDescent="0.25"/>
    <row r="10" spans="3:7" ht="18.75" hidden="1" x14ac:dyDescent="0.25">
      <c r="C10" s="196" t="s">
        <v>76</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3</v>
      </c>
      <c r="F14" t="s">
        <v>209</v>
      </c>
      <c r="G14" s="24">
        <v>1</v>
      </c>
    </row>
    <row r="15" spans="3:7" ht="15.75" customHeight="1" x14ac:dyDescent="0.25">
      <c r="C15" t="s">
        <v>71</v>
      </c>
      <c r="D15" s="24">
        <v>3</v>
      </c>
      <c r="F15" s="21" t="s">
        <v>202</v>
      </c>
      <c r="G15" s="24">
        <v>3</v>
      </c>
    </row>
    <row r="16" spans="3:7" ht="15.75" customHeight="1" x14ac:dyDescent="0.25">
      <c r="C16" t="s">
        <v>72</v>
      </c>
      <c r="D16" s="24">
        <v>0</v>
      </c>
      <c r="F16" t="s">
        <v>205</v>
      </c>
      <c r="G16" s="24">
        <v>0</v>
      </c>
    </row>
    <row r="17" spans="3:7" ht="15.75" hidden="1" customHeight="1" x14ac:dyDescent="0.25">
      <c r="D17" s="24">
        <v>3</v>
      </c>
      <c r="G17" s="24">
        <v>3</v>
      </c>
    </row>
    <row r="18" spans="3:7" ht="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0</v>
      </c>
      <c r="F21" t="s">
        <v>206</v>
      </c>
      <c r="G21" s="24">
        <v>3</v>
      </c>
    </row>
    <row r="22" spans="3:7" ht="15.75" customHeight="1" x14ac:dyDescent="0.25">
      <c r="C22" t="s">
        <v>210</v>
      </c>
      <c r="D22" s="24">
        <v>1</v>
      </c>
      <c r="F22" t="s">
        <v>204</v>
      </c>
      <c r="G22" s="24">
        <v>1</v>
      </c>
    </row>
    <row r="23" spans="3:7" ht="15.75" customHeight="1" x14ac:dyDescent="0.25">
      <c r="C23" t="s">
        <v>91</v>
      </c>
      <c r="D23" s="24">
        <v>0</v>
      </c>
      <c r="F23" t="s">
        <v>203</v>
      </c>
      <c r="G23" s="24">
        <v>1</v>
      </c>
    </row>
    <row r="24" spans="3:7" ht="15.75" hidden="1" customHeight="1" x14ac:dyDescent="0.25">
      <c r="D24" s="24">
        <v>3</v>
      </c>
      <c r="G24" s="24">
        <v>3</v>
      </c>
    </row>
    <row r="25" spans="3:7" ht="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111" customHeight="1" x14ac:dyDescent="0.25">
      <c r="C29" s="199" t="s">
        <v>261</v>
      </c>
      <c r="D29" s="199"/>
      <c r="F29" s="200" t="s">
        <v>126</v>
      </c>
      <c r="G29" s="200"/>
    </row>
    <row r="30" spans="3:7" ht="4.5" customHeight="1" x14ac:dyDescent="0.25"/>
    <row r="31" spans="3:7" x14ac:dyDescent="0.25">
      <c r="C31" s="201" t="s">
        <v>2</v>
      </c>
      <c r="D31" s="201"/>
      <c r="F31" s="202" t="s">
        <v>1</v>
      </c>
      <c r="G31" s="202"/>
    </row>
    <row r="32" spans="3:7" ht="93" customHeight="1" x14ac:dyDescent="0.25">
      <c r="C32" s="203" t="s">
        <v>99</v>
      </c>
      <c r="D32" s="203"/>
      <c r="F32" s="204" t="s">
        <v>260</v>
      </c>
      <c r="G32" s="204"/>
    </row>
    <row r="33" spans="3:11" ht="9.75" customHeight="1" x14ac:dyDescent="0.25"/>
    <row r="34" spans="3:11" s="1" customFormat="1" ht="18.75" hidden="1" x14ac:dyDescent="0.25">
      <c r="C34" s="196" t="s">
        <v>0</v>
      </c>
      <c r="D34" s="196"/>
      <c r="E34" s="196"/>
      <c r="F34" s="196"/>
      <c r="G34" s="23"/>
      <c r="I34" t="s">
        <v>73</v>
      </c>
      <c r="K34" t="s">
        <v>70</v>
      </c>
    </row>
    <row r="35" spans="3:11" ht="4.5" hidden="1" customHeight="1" x14ac:dyDescent="0.25"/>
    <row r="36" spans="3:11" x14ac:dyDescent="0.25">
      <c r="C36" s="197" t="str">
        <f>"Score total : " &amp;G36&amp; " sur 72  - Pourcentage de scoring : " &amp; ROUND(100*(G36/36),2) &amp; " %"</f>
        <v>Score total : 16 sur 72  - Pourcentage de scoring : 44,44 %</v>
      </c>
      <c r="D36" s="197"/>
      <c r="E36" s="197"/>
      <c r="F36" s="197"/>
      <c r="G36" s="27">
        <f>SUM((D14:D16),D21:D23,G14:G16,G21:G23)</f>
        <v>16</v>
      </c>
      <c r="I36" t="s">
        <v>75</v>
      </c>
      <c r="K36" t="s">
        <v>74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214" t="s">
        <v>134</v>
      </c>
      <c r="D41" s="214"/>
      <c r="E41" s="214"/>
      <c r="F41" s="214"/>
      <c r="G41" s="214"/>
    </row>
    <row r="42" spans="3:11" ht="51.75" customHeight="1" x14ac:dyDescent="0.25">
      <c r="C42" s="214"/>
      <c r="D42" s="214"/>
      <c r="E42" s="214"/>
      <c r="F42" s="214"/>
      <c r="G42" s="214"/>
    </row>
  </sheetData>
  <mergeCells count="22">
    <mergeCell ref="C7:D7"/>
    <mergeCell ref="F7:G7"/>
    <mergeCell ref="C2:F2"/>
    <mergeCell ref="C4:D4"/>
    <mergeCell ref="F4:G4"/>
    <mergeCell ref="C6:D6"/>
    <mergeCell ref="F6:G6"/>
    <mergeCell ref="C8:D8"/>
    <mergeCell ref="F8:G8"/>
    <mergeCell ref="C10:G10"/>
    <mergeCell ref="C26:G26"/>
    <mergeCell ref="C28:D28"/>
    <mergeCell ref="F28:G28"/>
    <mergeCell ref="C34:F34"/>
    <mergeCell ref="C36:F36"/>
    <mergeCell ref="C41:G42"/>
    <mergeCell ref="C29:D29"/>
    <mergeCell ref="F29:G29"/>
    <mergeCell ref="C31:D31"/>
    <mergeCell ref="F31:G31"/>
    <mergeCell ref="C32:D32"/>
    <mergeCell ref="F32:G32"/>
  </mergeCells>
  <conditionalFormatting sqref="G36:G39">
    <cfRule type="iconSet" priority="19">
      <iconSet iconSet="5Rating">
        <cfvo type="percent" val="0"/>
        <cfvo type="percent" val="20"/>
        <cfvo type="percent" val="40"/>
        <cfvo type="percent" val="60"/>
        <cfvo type="percent" val="80"/>
      </iconSet>
    </cfRule>
  </conditionalFormatting>
  <conditionalFormatting sqref="D24">
    <cfRule type="iconSet" priority="16">
      <iconSet>
        <cfvo type="percent" val="0"/>
        <cfvo type="percent" val="33"/>
        <cfvo type="percent" val="67"/>
      </iconSet>
    </cfRule>
  </conditionalFormatting>
  <conditionalFormatting sqref="G24">
    <cfRule type="iconSet" priority="12">
      <iconSet>
        <cfvo type="percent" val="0"/>
        <cfvo type="percent" val="33"/>
        <cfvo type="percent" val="67"/>
      </iconSet>
    </cfRule>
  </conditionalFormatting>
  <conditionalFormatting sqref="D14:D16">
    <cfRule type="iconSet" priority="11">
      <iconSet>
        <cfvo type="percent" val="0"/>
        <cfvo type="percent" val="33"/>
        <cfvo type="percent" val="67"/>
      </iconSet>
    </cfRule>
  </conditionalFormatting>
  <conditionalFormatting sqref="G18:G19">
    <cfRule type="iconSet" priority="10">
      <iconSet>
        <cfvo type="percent" val="0"/>
        <cfvo type="percent" val="33"/>
        <cfvo type="percent" val="67"/>
      </iconSet>
    </cfRule>
  </conditionalFormatting>
  <conditionalFormatting sqref="D13:D19">
    <cfRule type="iconSet" priority="9">
      <iconSet>
        <cfvo type="percent" val="0"/>
        <cfvo type="percent" val="33"/>
        <cfvo type="percent" val="67"/>
      </iconSet>
    </cfRule>
  </conditionalFormatting>
  <conditionalFormatting sqref="D20">
    <cfRule type="iconSet" priority="7">
      <iconSet>
        <cfvo type="percent" val="0"/>
        <cfvo type="percent" val="33"/>
        <cfvo type="percent" val="67"/>
      </iconSet>
    </cfRule>
  </conditionalFormatting>
  <conditionalFormatting sqref="G14:G16">
    <cfRule type="iconSet" priority="6">
      <iconSet>
        <cfvo type="percent" val="0"/>
        <cfvo type="percent" val="33"/>
        <cfvo type="percent" val="67"/>
      </iconSet>
    </cfRule>
  </conditionalFormatting>
  <conditionalFormatting sqref="G13:G17">
    <cfRule type="iconSet" priority="5">
      <iconSet>
        <cfvo type="percent" val="0"/>
        <cfvo type="percent" val="33"/>
        <cfvo type="percent" val="67"/>
      </iconSet>
    </cfRule>
  </conditionalFormatting>
  <conditionalFormatting sqref="G21:G23">
    <cfRule type="iconSet" priority="4">
      <iconSet>
        <cfvo type="percent" val="0"/>
        <cfvo type="percent" val="33"/>
        <cfvo type="percent" val="67"/>
      </iconSet>
    </cfRule>
  </conditionalFormatting>
  <conditionalFormatting sqref="G20:G23">
    <cfRule type="iconSet" priority="3">
      <iconSet>
        <cfvo type="percent" val="0"/>
        <cfvo type="percent" val="33"/>
        <cfvo type="percent" val="67"/>
      </iconSet>
    </cfRule>
  </conditionalFormatting>
  <conditionalFormatting sqref="D21:D23">
    <cfRule type="iconSet" priority="2">
      <iconSet>
        <cfvo type="percent" val="0"/>
        <cfvo type="num" val="1"/>
        <cfvo type="num" val="3"/>
      </iconSet>
    </cfRule>
  </conditionalFormatting>
  <pageMargins left="0.7" right="0.7" top="0.75" bottom="0.75" header="0.3" footer="0.3"/>
  <pageSetup paperSize="9"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C2:K42"/>
  <sheetViews>
    <sheetView showGridLines="0" workbookViewId="0">
      <selection activeCell="C2" sqref="C2:F2"/>
    </sheetView>
  </sheetViews>
  <sheetFormatPr baseColWidth="10" defaultRowHeight="15" x14ac:dyDescent="0.25"/>
  <cols>
    <col min="1" max="1" width="16" customWidth="1"/>
    <col min="2" max="2" width="2.85546875" customWidth="1"/>
    <col min="3" max="3" width="52.85546875" customWidth="1"/>
    <col min="4" max="4" width="5.7109375" customWidth="1"/>
    <col min="5" max="5" width="1.28515625" customWidth="1"/>
    <col min="6" max="6" width="52.85546875" customWidth="1"/>
    <col min="7" max="7" width="5.7109375" customWidth="1"/>
    <col min="8" max="8" width="3.140625" customWidth="1"/>
  </cols>
  <sheetData>
    <row r="2" spans="3:7" s="2" customFormat="1" ht="21" customHeight="1" x14ac:dyDescent="0.25">
      <c r="C2" s="210" t="s">
        <v>286</v>
      </c>
      <c r="D2" s="210"/>
      <c r="E2" s="210"/>
      <c r="F2" s="210"/>
      <c r="G2" s="52"/>
    </row>
    <row r="3" spans="3:7" s="2" customFormat="1" ht="4.5" customHeight="1" x14ac:dyDescent="0.25"/>
    <row r="4" spans="3:7" s="2" customFormat="1" ht="15" customHeight="1" x14ac:dyDescent="0.25">
      <c r="C4" s="211" t="s">
        <v>69</v>
      </c>
      <c r="D4" s="211"/>
      <c r="F4" s="206" t="s">
        <v>287</v>
      </c>
      <c r="G4" s="206"/>
    </row>
    <row r="5" spans="3:7" s="2" customFormat="1" ht="15" customHeight="1" x14ac:dyDescent="0.25">
      <c r="C5" s="54" t="s">
        <v>77</v>
      </c>
      <c r="D5" s="54"/>
      <c r="F5" s="55" t="s">
        <v>288</v>
      </c>
      <c r="G5" s="55"/>
    </row>
    <row r="6" spans="3:7" s="2" customFormat="1" ht="15" hidden="1" customHeight="1" x14ac:dyDescent="0.25">
      <c r="C6" s="212" t="s">
        <v>84</v>
      </c>
      <c r="D6" s="212"/>
      <c r="F6" s="206" t="s">
        <v>88</v>
      </c>
      <c r="G6" s="206"/>
    </row>
    <row r="7" spans="3:7" s="2" customFormat="1" ht="15" hidden="1" customHeight="1" x14ac:dyDescent="0.25">
      <c r="C7" s="212" t="s">
        <v>85</v>
      </c>
      <c r="D7" s="212"/>
      <c r="F7" s="213" t="s">
        <v>97</v>
      </c>
      <c r="G7" s="213"/>
    </row>
    <row r="8" spans="3:7" s="2" customFormat="1" ht="15" customHeight="1" x14ac:dyDescent="0.25">
      <c r="C8" s="205" t="s">
        <v>83</v>
      </c>
      <c r="D8" s="205"/>
      <c r="F8" s="206" t="s">
        <v>280</v>
      </c>
      <c r="G8" s="206"/>
    </row>
    <row r="9" spans="3:7" ht="7.5" customHeight="1" x14ac:dyDescent="0.25"/>
    <row r="10" spans="3:7" ht="18.75" hidden="1" x14ac:dyDescent="0.25">
      <c r="C10" s="196" t="s">
        <v>76</v>
      </c>
      <c r="D10" s="196"/>
      <c r="E10" s="196"/>
      <c r="F10" s="196"/>
      <c r="G10" s="196"/>
    </row>
    <row r="11" spans="3:7" hidden="1" x14ac:dyDescent="0.25"/>
    <row r="12" spans="3:7" x14ac:dyDescent="0.25">
      <c r="C12" s="26" t="s">
        <v>212</v>
      </c>
      <c r="F12" s="77" t="s">
        <v>208</v>
      </c>
    </row>
    <row r="13" spans="3:7" ht="15.75" hidden="1" customHeight="1" x14ac:dyDescent="0.25">
      <c r="D13" s="25">
        <v>0</v>
      </c>
      <c r="G13" s="25">
        <v>0</v>
      </c>
    </row>
    <row r="14" spans="3:7" ht="15.75" customHeight="1" x14ac:dyDescent="0.25">
      <c r="C14" t="s">
        <v>211</v>
      </c>
      <c r="D14" s="24">
        <v>1</v>
      </c>
      <c r="F14" t="s">
        <v>209</v>
      </c>
      <c r="G14" s="24">
        <v>1</v>
      </c>
    </row>
    <row r="15" spans="3:7" ht="15.75" customHeight="1" x14ac:dyDescent="0.25">
      <c r="C15" t="s">
        <v>71</v>
      </c>
      <c r="D15" s="24">
        <v>3</v>
      </c>
      <c r="F15" s="21" t="s">
        <v>202</v>
      </c>
      <c r="G15" s="24">
        <v>1</v>
      </c>
    </row>
    <row r="16" spans="3:7" ht="15.75" customHeight="1" x14ac:dyDescent="0.25">
      <c r="C16" t="s">
        <v>72</v>
      </c>
      <c r="D16" s="24">
        <v>3</v>
      </c>
      <c r="F16" t="s">
        <v>205</v>
      </c>
      <c r="G16" s="24">
        <v>3</v>
      </c>
    </row>
    <row r="17" spans="3:7" ht="15.75" hidden="1" customHeight="1" x14ac:dyDescent="0.25">
      <c r="D17" s="24">
        <v>3</v>
      </c>
      <c r="G17" s="24">
        <v>3</v>
      </c>
    </row>
    <row r="18" spans="3:7" ht="7.5" customHeight="1" x14ac:dyDescent="0.25">
      <c r="D18" s="24"/>
      <c r="G18" s="24"/>
    </row>
    <row r="19" spans="3:7" ht="15.75" customHeight="1" x14ac:dyDescent="0.25">
      <c r="C19" s="26" t="s">
        <v>87</v>
      </c>
      <c r="D19" s="24"/>
      <c r="F19" s="26" t="s">
        <v>207</v>
      </c>
      <c r="G19" s="24"/>
    </row>
    <row r="20" spans="3:7" ht="15.75" hidden="1" customHeight="1" x14ac:dyDescent="0.25">
      <c r="D20" s="25">
        <v>0</v>
      </c>
      <c r="G20" s="25">
        <v>0</v>
      </c>
    </row>
    <row r="21" spans="3:7" ht="15.75" customHeight="1" x14ac:dyDescent="0.25">
      <c r="C21" t="s">
        <v>92</v>
      </c>
      <c r="D21" s="24">
        <v>3</v>
      </c>
      <c r="F21" t="s">
        <v>206</v>
      </c>
      <c r="G21" s="24">
        <v>3</v>
      </c>
    </row>
    <row r="22" spans="3:7" ht="15.75" customHeight="1" x14ac:dyDescent="0.25">
      <c r="C22" t="s">
        <v>210</v>
      </c>
      <c r="D22" s="24">
        <v>3</v>
      </c>
      <c r="F22" t="s">
        <v>204</v>
      </c>
      <c r="G22" s="24">
        <v>3</v>
      </c>
    </row>
    <row r="23" spans="3:7" ht="15.75" customHeight="1" x14ac:dyDescent="0.25">
      <c r="C23" t="s">
        <v>91</v>
      </c>
      <c r="D23" s="24">
        <v>3</v>
      </c>
      <c r="F23" t="s">
        <v>203</v>
      </c>
      <c r="G23" s="24">
        <v>1</v>
      </c>
    </row>
    <row r="24" spans="3:7" ht="15.75" hidden="1" customHeight="1" x14ac:dyDescent="0.25">
      <c r="D24" s="24">
        <v>3</v>
      </c>
      <c r="G24" s="24">
        <v>3</v>
      </c>
    </row>
    <row r="25" spans="3:7" ht="7.5" customHeight="1" x14ac:dyDescent="0.25"/>
    <row r="26" spans="3:7" s="1" customFormat="1" ht="18.75" hidden="1" x14ac:dyDescent="0.25">
      <c r="C26" s="207" t="s">
        <v>5</v>
      </c>
      <c r="D26" s="207"/>
      <c r="E26" s="207"/>
      <c r="F26" s="207"/>
      <c r="G26" s="207"/>
    </row>
    <row r="27" spans="3:7" ht="4.5" hidden="1" customHeight="1" x14ac:dyDescent="0.25"/>
    <row r="28" spans="3:7" x14ac:dyDescent="0.25">
      <c r="C28" s="208" t="s">
        <v>4</v>
      </c>
      <c r="D28" s="208"/>
      <c r="F28" s="209" t="s">
        <v>3</v>
      </c>
      <c r="G28" s="209"/>
    </row>
    <row r="29" spans="3:7" ht="111" customHeight="1" x14ac:dyDescent="0.25">
      <c r="C29" s="199" t="s">
        <v>289</v>
      </c>
      <c r="D29" s="199"/>
      <c r="F29" s="200" t="s">
        <v>292</v>
      </c>
      <c r="G29" s="200"/>
    </row>
    <row r="30" spans="3:7" ht="4.5" customHeight="1" x14ac:dyDescent="0.25"/>
    <row r="31" spans="3:7" x14ac:dyDescent="0.25">
      <c r="C31" s="201" t="s">
        <v>2</v>
      </c>
      <c r="D31" s="201"/>
      <c r="F31" s="202" t="s">
        <v>1</v>
      </c>
      <c r="G31" s="202"/>
    </row>
    <row r="32" spans="3:7" ht="186" customHeight="1" x14ac:dyDescent="0.25">
      <c r="C32" s="203" t="s">
        <v>290</v>
      </c>
      <c r="D32" s="203"/>
      <c r="F32" s="204" t="s">
        <v>291</v>
      </c>
      <c r="G32" s="204"/>
    </row>
    <row r="33" spans="3:11" ht="9.75" customHeight="1" x14ac:dyDescent="0.25"/>
    <row r="34" spans="3:11" s="1" customFormat="1" ht="18.75" hidden="1" x14ac:dyDescent="0.25">
      <c r="C34" s="196" t="s">
        <v>0</v>
      </c>
      <c r="D34" s="196"/>
      <c r="E34" s="196"/>
      <c r="F34" s="196"/>
      <c r="G34" s="53"/>
      <c r="I34" t="s">
        <v>73</v>
      </c>
      <c r="K34" t="s">
        <v>70</v>
      </c>
    </row>
    <row r="35" spans="3:11" ht="4.5" hidden="1" customHeight="1" x14ac:dyDescent="0.25"/>
    <row r="36" spans="3:11" x14ac:dyDescent="0.25">
      <c r="C36" s="197" t="str">
        <f>"Score total : " &amp;G36&amp; " sur 72  - Pourcentage de scoring : " &amp; ROUND(100*(G36/36),2) &amp; " %"</f>
        <v>Score total : 28 sur 72  - Pourcentage de scoring : 77,78 %</v>
      </c>
      <c r="D36" s="197"/>
      <c r="E36" s="197"/>
      <c r="F36" s="197"/>
      <c r="G36" s="27">
        <f>SUM((D14:D16),D21:D23,G14:G16,G21:G23)</f>
        <v>28</v>
      </c>
      <c r="I36" t="s">
        <v>75</v>
      </c>
      <c r="K36" t="s">
        <v>74</v>
      </c>
    </row>
    <row r="37" spans="3:11" hidden="1" x14ac:dyDescent="0.25">
      <c r="G37">
        <v>72</v>
      </c>
    </row>
    <row r="38" spans="3:11" hidden="1" x14ac:dyDescent="0.25">
      <c r="G38">
        <v>36</v>
      </c>
    </row>
    <row r="39" spans="3:11" hidden="1" x14ac:dyDescent="0.25">
      <c r="G39">
        <v>0</v>
      </c>
    </row>
    <row r="40" spans="3:11" ht="6.75" customHeight="1" x14ac:dyDescent="0.25"/>
    <row r="41" spans="3:11" x14ac:dyDescent="0.25">
      <c r="C41" s="214" t="s">
        <v>293</v>
      </c>
      <c r="D41" s="214"/>
      <c r="E41" s="214"/>
      <c r="F41" s="214"/>
      <c r="G41" s="214"/>
    </row>
    <row r="42" spans="3:11" ht="27" customHeight="1" x14ac:dyDescent="0.25">
      <c r="C42" s="214"/>
      <c r="D42" s="214"/>
      <c r="E42" s="214"/>
      <c r="F42" s="214"/>
      <c r="G42" s="214"/>
    </row>
  </sheetData>
  <mergeCells count="22">
    <mergeCell ref="C34:F34"/>
    <mergeCell ref="C36:F36"/>
    <mergeCell ref="C41:G42"/>
    <mergeCell ref="C29:D29"/>
    <mergeCell ref="F29:G29"/>
    <mergeCell ref="C31:D31"/>
    <mergeCell ref="F31:G31"/>
    <mergeCell ref="C32:D32"/>
    <mergeCell ref="F32:G32"/>
    <mergeCell ref="C8:D8"/>
    <mergeCell ref="F8:G8"/>
    <mergeCell ref="C10:G10"/>
    <mergeCell ref="C26:G26"/>
    <mergeCell ref="C28:D28"/>
    <mergeCell ref="F28:G28"/>
    <mergeCell ref="C2:F2"/>
    <mergeCell ref="C4:D4"/>
    <mergeCell ref="F4:G4"/>
    <mergeCell ref="C6:D6"/>
    <mergeCell ref="F6:G6"/>
    <mergeCell ref="C7:D7"/>
    <mergeCell ref="F7:G7"/>
  </mergeCells>
  <conditionalFormatting sqref="G36:G39">
    <cfRule type="iconSet" priority="12">
      <iconSet iconSet="5Rating">
        <cfvo type="percent" val="0"/>
        <cfvo type="percent" val="20"/>
        <cfvo type="percent" val="40"/>
        <cfvo type="percent" val="60"/>
        <cfvo type="percent" val="80"/>
      </iconSet>
    </cfRule>
  </conditionalFormatting>
  <conditionalFormatting sqref="D24">
    <cfRule type="iconSet" priority="11">
      <iconSet>
        <cfvo type="percent" val="0"/>
        <cfvo type="percent" val="33"/>
        <cfvo type="percent" val="67"/>
      </iconSet>
    </cfRule>
  </conditionalFormatting>
  <conditionalFormatting sqref="G24">
    <cfRule type="iconSet" priority="10">
      <iconSet>
        <cfvo type="percent" val="0"/>
        <cfvo type="percent" val="33"/>
        <cfvo type="percent" val="67"/>
      </iconSet>
    </cfRule>
  </conditionalFormatting>
  <conditionalFormatting sqref="D14:D16">
    <cfRule type="iconSet" priority="9">
      <iconSet>
        <cfvo type="percent" val="0"/>
        <cfvo type="percent" val="33"/>
        <cfvo type="percent" val="67"/>
      </iconSet>
    </cfRule>
  </conditionalFormatting>
  <conditionalFormatting sqref="G18:G19">
    <cfRule type="iconSet" priority="8">
      <iconSet>
        <cfvo type="percent" val="0"/>
        <cfvo type="percent" val="33"/>
        <cfvo type="percent" val="67"/>
      </iconSet>
    </cfRule>
  </conditionalFormatting>
  <conditionalFormatting sqref="D13:D19">
    <cfRule type="iconSet" priority="7">
      <iconSet>
        <cfvo type="percent" val="0"/>
        <cfvo type="percent" val="33"/>
        <cfvo type="percent" val="67"/>
      </iconSet>
    </cfRule>
  </conditionalFormatting>
  <conditionalFormatting sqref="D20">
    <cfRule type="iconSet" priority="6">
      <iconSet>
        <cfvo type="percent" val="0"/>
        <cfvo type="percent" val="33"/>
        <cfvo type="percent" val="67"/>
      </iconSet>
    </cfRule>
  </conditionalFormatting>
  <conditionalFormatting sqref="G14:G16">
    <cfRule type="iconSet" priority="5">
      <iconSet>
        <cfvo type="percent" val="0"/>
        <cfvo type="percent" val="33"/>
        <cfvo type="percent" val="67"/>
      </iconSet>
    </cfRule>
  </conditionalFormatting>
  <conditionalFormatting sqref="G13:G17">
    <cfRule type="iconSet" priority="4">
      <iconSet>
        <cfvo type="percent" val="0"/>
        <cfvo type="percent" val="33"/>
        <cfvo type="percent" val="67"/>
      </iconSet>
    </cfRule>
  </conditionalFormatting>
  <conditionalFormatting sqref="G21:G23">
    <cfRule type="iconSet" priority="3">
      <iconSet>
        <cfvo type="percent" val="0"/>
        <cfvo type="percent" val="33"/>
        <cfvo type="percent" val="67"/>
      </iconSet>
    </cfRule>
  </conditionalFormatting>
  <conditionalFormatting sqref="G20:G23">
    <cfRule type="iconSet" priority="2">
      <iconSet>
        <cfvo type="percent" val="0"/>
        <cfvo type="percent" val="33"/>
        <cfvo type="percent" val="67"/>
      </iconSet>
    </cfRule>
  </conditionalFormatting>
  <conditionalFormatting sqref="D21:D23">
    <cfRule type="iconSet" priority="1">
      <iconSet>
        <cfvo type="percent" val="0"/>
        <cfvo type="num" val="1"/>
        <cfvo type="num" val="3"/>
      </iconSet>
    </cfRule>
  </conditionalFormatting>
  <pageMargins left="0.7" right="0.7" top="0.75" bottom="0.75" header="0.3" footer="0.3"/>
  <pageSetup paperSize="9"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B1:C17"/>
  <sheetViews>
    <sheetView showGridLines="0" workbookViewId="0"/>
  </sheetViews>
  <sheetFormatPr baseColWidth="10" defaultRowHeight="15" x14ac:dyDescent="0.25"/>
  <cols>
    <col min="1" max="1" width="2.5703125" customWidth="1"/>
    <col min="2" max="2" width="32" bestFit="1" customWidth="1"/>
    <col min="3" max="3" width="120.5703125" customWidth="1"/>
    <col min="4" max="4" width="2.7109375" customWidth="1"/>
  </cols>
  <sheetData>
    <row r="1" spans="2:3" ht="9" customHeight="1" x14ac:dyDescent="0.25"/>
    <row r="2" spans="2:3" ht="18.75" x14ac:dyDescent="0.3">
      <c r="B2" s="215" t="s">
        <v>122</v>
      </c>
      <c r="C2" s="215"/>
    </row>
    <row r="3" spans="2:3" ht="7.5" customHeight="1" x14ac:dyDescent="0.25"/>
    <row r="4" spans="2:3" ht="37.5" customHeight="1" x14ac:dyDescent="0.25">
      <c r="B4" s="31" t="s">
        <v>54</v>
      </c>
      <c r="C4" s="32" t="s">
        <v>129</v>
      </c>
    </row>
    <row r="5" spans="2:3" ht="38.25" customHeight="1" x14ac:dyDescent="0.25">
      <c r="B5" s="33" t="s">
        <v>123</v>
      </c>
      <c r="C5" s="34" t="s">
        <v>117</v>
      </c>
    </row>
    <row r="6" spans="2:3" ht="52.5" customHeight="1" x14ac:dyDescent="0.25">
      <c r="B6" s="33" t="s">
        <v>10</v>
      </c>
      <c r="C6" s="34" t="s">
        <v>121</v>
      </c>
    </row>
    <row r="7" spans="2:3" ht="42.75" customHeight="1" x14ac:dyDescent="0.25">
      <c r="B7" s="37" t="s">
        <v>120</v>
      </c>
      <c r="C7" s="34" t="s">
        <v>136</v>
      </c>
    </row>
    <row r="8" spans="2:3" ht="30" x14ac:dyDescent="0.25">
      <c r="B8" s="37" t="s">
        <v>132</v>
      </c>
      <c r="C8" s="34" t="s">
        <v>133</v>
      </c>
    </row>
    <row r="9" spans="2:3" ht="45" x14ac:dyDescent="0.25">
      <c r="B9" s="37" t="s">
        <v>297</v>
      </c>
      <c r="C9" s="34" t="s">
        <v>298</v>
      </c>
    </row>
    <row r="10" spans="2:3" ht="54" customHeight="1" x14ac:dyDescent="0.25">
      <c r="B10" s="33" t="s">
        <v>108</v>
      </c>
      <c r="C10" s="34" t="s">
        <v>116</v>
      </c>
    </row>
    <row r="11" spans="2:3" ht="54.75" customHeight="1" x14ac:dyDescent="0.25">
      <c r="B11" s="33" t="s">
        <v>109</v>
      </c>
      <c r="C11" s="34" t="s">
        <v>119</v>
      </c>
    </row>
    <row r="12" spans="2:3" ht="60" x14ac:dyDescent="0.25">
      <c r="B12" s="33" t="s">
        <v>111</v>
      </c>
      <c r="C12" s="34" t="s">
        <v>118</v>
      </c>
    </row>
    <row r="13" spans="2:3" ht="39.75" customHeight="1" x14ac:dyDescent="0.25">
      <c r="B13" s="33" t="s">
        <v>113</v>
      </c>
      <c r="C13" s="34" t="s">
        <v>124</v>
      </c>
    </row>
    <row r="14" spans="2:3" ht="54.75" customHeight="1" x14ac:dyDescent="0.25">
      <c r="B14" s="33" t="s">
        <v>112</v>
      </c>
      <c r="C14" s="34" t="s">
        <v>127</v>
      </c>
    </row>
    <row r="15" spans="2:3" ht="41.25" customHeight="1" x14ac:dyDescent="0.25">
      <c r="B15" s="42" t="s">
        <v>130</v>
      </c>
      <c r="C15" s="41" t="s">
        <v>131</v>
      </c>
    </row>
    <row r="16" spans="2:3" ht="41.25" customHeight="1" x14ac:dyDescent="0.25">
      <c r="B16" s="35" t="s">
        <v>114</v>
      </c>
      <c r="C16" s="36" t="s">
        <v>125</v>
      </c>
    </row>
    <row r="17" ht="6" customHeight="1" x14ac:dyDescent="0.25"/>
  </sheetData>
  <sortState ref="B4:C13">
    <sortCondition ref="B4:B13"/>
  </sortState>
  <mergeCells count="1">
    <mergeCell ref="B2: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17</vt:i4>
      </vt:variant>
    </vt:vector>
  </HeadingPairs>
  <TitlesOfParts>
    <vt:vector size="17" baseType="lpstr">
      <vt:lpstr>Liste des choix</vt:lpstr>
      <vt:lpstr>Liste des choix possibles</vt:lpstr>
      <vt:lpstr>Récapitulatif</vt:lpstr>
      <vt:lpstr>1. Solution Full Web</vt:lpstr>
      <vt:lpstr>2. Solution Full Web Microsoft</vt:lpstr>
      <vt:lpstr>3. Solution App devices mobiles</vt:lpstr>
      <vt:lpstr>4. Solution J2EE</vt:lpstr>
      <vt:lpstr>5. Solution ASP DotNet</vt:lpstr>
      <vt:lpstr>6. Solution SilverLight DotNet</vt:lpstr>
      <vt:lpstr>7. Solution PHP</vt:lpstr>
      <vt:lpstr>8. Solution WinDev</vt:lpstr>
      <vt:lpstr>9. Solution Xamarin</vt:lpstr>
      <vt:lpstr>10. Solution WPF -DotNet </vt:lpstr>
      <vt:lpstr>11. Solution Access ADP</vt:lpstr>
      <vt:lpstr>12. Solution Access</vt:lpstr>
      <vt:lpstr>13. Solution MES ERP</vt:lpstr>
      <vt:lpstr>Glossaire</vt:lpstr>
    </vt:vector>
  </TitlesOfParts>
  <Company>EDF ENR PWT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MONNERY Fabien</dc:creator>
  <cp:lastModifiedBy>MONNERY Fabien</cp:lastModifiedBy>
  <dcterms:created xsi:type="dcterms:W3CDTF">2013-12-07T10:19:59Z</dcterms:created>
  <dcterms:modified xsi:type="dcterms:W3CDTF">2018-02-11T18:49:34Z</dcterms:modified>
</cp:coreProperties>
</file>